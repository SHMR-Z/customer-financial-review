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bed78bea3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表情况" sheetId="3" r:id="Re19278b2159a43ff"/>
    <x:sheet xmlns:r="http://schemas.openxmlformats.org/officeDocument/2006/relationships" name="业务分析" sheetId="9" r:id="R80562ffce19243ce"/>
    <x:sheet xmlns:r="http://schemas.openxmlformats.org/officeDocument/2006/relationships" name="提示事项" sheetId="8" r:id="R4474334f95aa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3" formatCode="_ * #,##0.00_ ;_ * \-#,##0.00_ ;_ * &quot;-&quot;??_ ;_ @_ "/>
    <x:numFmt numFmtId="200" formatCode="0.00&quot; p.p.&quot;"/>
    <x:numFmt numFmtId="201" formatCode="0.00%"/>
    <x:numFmt numFmtId="202" formatCode="#,##0.00;[Red](#,##0.00);0.00"/>
    <x:numFmt numFmtId="203" formatCode="#,##0.00"/>
  </x:numFmts>
  <x:fonts count="47">
    <x:font>
      <x:sz val="11"/>
      <x:color theme="1"/>
      <x:name val="等线"/>
      <x:family val="2"/>
      <x:scheme val="minor"/>
    </x:font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sz val="12"/>
      <x:name val="宋体"/>
      <x:family val="3"/>
    </x:font>
    <x:font>
      <x:sz val="9"/>
      <x:name val="宋体"/>
      <x:family val="3"/>
    </x:font>
    <x:font>
      <x:b/>
      <x:sz val="12"/>
      <x:color rgb="FFFF0000"/>
      <x:name val="微软雅黑"/>
      <x:family val="2"/>
    </x:font>
    <x:font>
      <x:sz val="12"/>
      <x:color theme="1"/>
      <x:name val="微软雅黑"/>
      <x:family val="2"/>
    </x:font>
    <x:font>
      <x:sz val="12"/>
      <x:color rgb="FFFF0000"/>
      <x:name val="微软雅黑"/>
      <x:family val="2"/>
    </x:font>
    <x:font>
      <x:b/>
      <x:sz val="12"/>
      <x:color theme="1"/>
      <x:name val="微软雅黑"/>
      <x:family val="2"/>
    </x:font>
    <x:font>
      <x:sz val="12"/>
      <x:name val="微软雅黑"/>
      <x:family val="2"/>
    </x:font>
    <x:font>
      <x:b/>
      <x:sz val="12"/>
      <x:name val="微软雅黑"/>
      <x:family val="2"/>
    </x:font>
    <x:font>
      <x:sz val="12"/>
      <x:color theme="1"/>
      <x:name val="黑体"/>
      <x:family val="3"/>
    </x:font>
    <x:font>
      <x:b/>
      <x:sz val="12"/>
      <x:color theme="1"/>
      <x:name val="黑体"/>
      <x:family val="3"/>
    </x:font>
    <x:font>
      <x:b/>
      <x:sz val="12"/>
      <x:color theme="8"/>
      <x:name val="黑体"/>
      <x:family val="3"/>
    </x:font>
    <x:font>
      <x:b/>
      <x:sz val="12"/>
      <x:color rgb="FF0070C0"/>
      <x:name val="宋体"/>
      <x:family val="3"/>
    </x:font>
    <x:font>
      <x:sz val="12"/>
      <x:color rgb="FF404040"/>
      <x:name val="宋体"/>
      <x:family val="3"/>
    </x:font>
    <x:font>
      <x:b/>
      <x:sz val="12"/>
      <x:color rgb="FF404040"/>
      <x:name val="宋体"/>
      <x:family val="3"/>
    </x:font>
    <x:font>
      <x:sz val="10"/>
      <x:color rgb="FF404040"/>
      <x:name val="Segoe UI"/>
      <x:family val="2"/>
    </x:font>
    <x:font>
      <x:b/>
      <x:sz val="13.5"/>
      <x:color theme="1"/>
      <x:name val="等线"/>
      <x:family val="3"/>
      <x:scheme val="minor"/>
    </x:font>
    <x:font>
      <x:b/>
      <x:sz val="12"/>
      <x:color theme="1"/>
      <x:name val="等线"/>
      <x:family val="3"/>
      <x:scheme val="minor"/>
    </x:font>
    <x:font>
      <x:b/>
      <x:sz val="11"/>
      <x:color theme="1"/>
      <x:name val="等线"/>
      <x:family val="3"/>
      <x:scheme val="minor"/>
    </x:font>
    <x:font>
      <x:b/>
      <x:sz val="11"/>
      <x:color theme="1"/>
      <x:name val="微软雅黑"/>
      <x:family val="3"/>
      <x:scheme val="minor"/>
    </x:font>
    <x:font>
      <x:sz val="11"/>
      <x:color theme="1"/>
      <x:name val="微软雅黑"/>
      <x:family val="2"/>
    </x:font>
    <x:font>
      <x:sz val="11"/>
      <x:color theme="1"/>
      <x:name val="微软雅黑"/>
      <x:family val="2"/>
      <x:scheme val="minor"/>
    </x:font>
    <x:font>
      <x:b/>
      <x:sz val="11"/>
      <x:color rgb="FFFF0000"/>
      <x:name val="微软雅黑"/>
      <x:family val="2"/>
    </x:font>
    <x:font>
      <x:b/>
      <x:sz val="11"/>
      <x:color theme="1"/>
      <x:name val="微软雅黑"/>
      <x:family val="2"/>
    </x:font>
    <x:font>
      <x:sz val="11"/>
      <x:color theme="1"/>
      <x:name val="微软雅黑"/>
      <x:family val="3"/>
    </x:font>
    <x:font>
      <x:b/>
      <x:sz val="11"/>
      <x:color theme="1"/>
      <x:name val="微软雅黑"/>
      <x:family val="3"/>
    </x:font>
    <x:font>
      <x:b/>
      <x:sz val="11"/>
      <x:color theme="8"/>
      <x:name val="微软雅黑"/>
      <x:family val="3"/>
    </x:font>
    <x:font>
      <x:b/>
      <x:sz val="11"/>
      <x:name val="微软雅黑"/>
      <x:family val="2"/>
    </x:font>
    <x:font>
      <x:sz val="11"/>
      <x:name val="微软雅黑"/>
      <x:family val="2"/>
    </x:font>
    <x:font>
      <x:sz val="11"/>
      <x:color rgb="FFFF0000"/>
      <x:name val="微软雅黑"/>
      <x:family val="2"/>
    </x:font>
    <x:font>
      <x:b/>
      <x:sz val="11"/>
      <x:color rgb="FF0070C0"/>
      <x:name val="微软雅黑"/>
      <x:family val="3"/>
    </x:font>
    <x:font>
      <x:sz val="11"/>
      <x:color rgb="FF404040"/>
      <x:name val="微软雅黑"/>
      <x:family val="3"/>
    </x:font>
    <x:font>
      <x:b/>
      <x:sz val="11"/>
      <x:color rgb="FF404040"/>
      <x:name val="微软雅黑"/>
      <x:family val="3"/>
    </x:font>
    <x:font>
      <x:sz val="11"/>
      <x:color rgb="FF404040"/>
      <x:name val="微软雅黑"/>
      <x:family val="2"/>
    </x:font>
    <x:font>
      <x:b/>
      <x:sz val="10"/>
      <x:color rgb="FF526477"/>
      <x:name val="微软雅黑"/>
      <x:family val="3"/>
      <x:scheme val="minor"/>
    </x:font>
    <x:font>
      <x:sz val="10"/>
      <x:color rgb="FF526477"/>
      <x:name val="微软雅黑"/>
      <x:family val="2"/>
    </x:font>
    <x:font>
      <x:b/>
      <x:sz val="11"/>
      <x:color rgb="FFFFFFFF"/>
      <x:name val="微软雅黑"/>
      <x:family val="3"/>
      <x:scheme val="minor"/>
    </x:font>
    <x:font>
      <x:b/>
      <x:sz val="11"/>
      <x:color rgb="FFFFFFFF"/>
      <x:name val="微软雅黑"/>
      <x:family val="2"/>
    </x:font>
    <x:font>
      <x:sz val="11"/>
      <x:color rgb="FF0000FF"/>
      <x:name val="微软雅黑"/>
      <x:family val="2"/>
    </x:font>
    <x:font>
      <x:b/>
      <x:sz val="11"/>
      <x:color rgb="FF0000FF"/>
      <x:name val="微软雅黑"/>
      <x:family val="2"/>
    </x:font>
    <x:font>
      <x:b/>
      <x:sz val="11"/>
      <x:color rgb="FFC00000"/>
      <x:name val="微软雅黑"/>
      <x:family val="2"/>
    </x:font>
    <x:font>
      <x:sz val="11"/>
      <x:color rgb="FFC00000"/>
      <x:name val="微软雅黑"/>
      <x:family val="2"/>
    </x:font>
    <x:font>
      <x:b/>
      <x:sz val="11"/>
      <x:color rgb="FFFFFFFF"/>
      <x:name val="微软雅黑"/>
      <x:family val="3"/>
    </x:font>
    <x:font>
      <x:b/>
      <x:sz val="11"/>
      <x:color rgb="FFFFFFFF"/>
      <x:name val="微软雅黑"/>
      <x:family val="2"/>
      <x:scheme val="minor"/>
    </x:font>
    <x:font>
      <x:sz val="11"/>
      <x:color rgb="FF0000FF"/>
      <x:name val="微软雅黑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FFF2CC"/>
      </x:patternFill>
    </x:fill>
  </x:fills>
  <x:borders count="1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rgb="FFA8B6C7"/>
      </x:left>
      <x:right style="thin">
        <x:color rgb="FFA8B6C7"/>
      </x:right>
      <x:top style="thin">
        <x:color rgb="FFA8B6C7"/>
      </x:top>
      <x:bottom style="thin">
        <x:color rgb="FFA8B6C7"/>
      </x:bottom>
      <x:diagonal/>
    </x:border>
  </x:borders>
  <x:cellStyleXfs count="5">
    <x:xf numFmtId="0" fontId="0" fillId="0" borderId="0"/>
    <x:xf numFmtId="43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3" fillId="0" borderId="0"/>
    <x:xf numFmtId="43" fontId="3" fillId="0" borderId="0" applyFont="0" applyFill="0" applyBorder="0" applyAlignment="0" applyProtection="0"/>
  </x:cellStyleXfs>
  <x:cellXfs count="263">
    <x:xf numFmtId="0" fontId="0" fillId="0" borderId="0" xfId="0"/>
    <x:xf numFmtId="43" fontId="0" fillId="0" borderId="0" xfId="1" applyFont="1" applyAlignment="1"/>
    <x:xf numFmtId="43" fontId="6" fillId="0" borderId="0" xfId="1" applyFont="1" applyAlignment="1"/>
    <x:xf numFmtId="0" fontId="6" fillId="0" borderId="0" xfId="0" applyFont="1"/>
    <x:xf numFmtId="4" fontId="6" fillId="0" borderId="7" xfId="0" applyNumberFormat="1" applyFont="1" applyBorder="1" applyAlignment="1">
      <x:alignment horizontal="center" vertical="center"/>
    </x:xf>
    <x:xf numFmtId="0" fontId="6" fillId="0" borderId="6" xfId="0" applyFont="1" applyBorder="1" applyAlignment="1">
      <x:alignment vertical="center"/>
    </x:xf>
    <x:xf numFmtId="43" fontId="6" fillId="0" borderId="7" xfId="1" applyFont="1" applyBorder="1" applyAlignment="1">
      <x:alignment vertical="center"/>
    </x:xf>
    <x:xf numFmtId="0" fontId="5" fillId="0" borderId="0" xfId="0" applyFont="1" applyAlignment="1">
      <x:alignment vertical="center"/>
    </x:xf>
    <x:xf numFmtId="43" fontId="6" fillId="2" borderId="2" xfId="1" applyFont="1" applyFill="1" applyBorder="1" applyAlignment="1">
      <x:alignment horizontal="center" vertical="center"/>
    </x:xf>
    <x:xf numFmtId="9" fontId="7" fillId="0" borderId="1" xfId="2" applyFont="1" applyBorder="1" applyAlignment="1">
      <x:alignment horizontal="center" vertical="center"/>
    </x:xf>
    <x:xf numFmtId="9" fontId="7" fillId="0" borderId="3" xfId="2" applyFont="1" applyBorder="1" applyAlignment="1">
      <x:alignment horizontal="center" vertical="center"/>
    </x:xf>
    <x:xf numFmtId="4" fontId="7" fillId="0" borderId="7" xfId="0" applyNumberFormat="1" applyFont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43" fontId="10" fillId="2" borderId="5" xfId="3" applyNumberFormat="1" applyFont="1" applyFill="1" applyBorder="1" applyAlignment="1">
      <x:alignment horizontal="center" vertical="center"/>
    </x:xf>
    <x:xf numFmtId="0" fontId="6" fillId="0" borderId="6" xfId="3" applyFont="1" applyBorder="1" applyAlignment="1">
      <x:alignment vertical="center"/>
    </x:xf>
    <x:xf numFmtId="0" fontId="9" fillId="0" borderId="6" xfId="3" applyFont="1" applyBorder="1" applyAlignment="1">
      <x:alignment vertical="center"/>
    </x:xf>
    <x:xf numFmtId="4" fontId="5" fillId="2" borderId="9" xfId="0" applyNumberFormat="1" applyFont="1" applyFill="1" applyBorder="1" applyAlignment="1">
      <x:alignment horizontal="center" vertical="center"/>
    </x:xf>
    <x:xf numFmtId="0" fontId="8" fillId="3" borderId="8" xfId="0" applyFont="1" applyFill="1" applyBorder="1" applyAlignment="1">
      <x:alignment vertical="center"/>
    </x:xf>
    <x:xf numFmtId="43" fontId="5" fillId="3" borderId="9" xfId="1" applyFont="1" applyFill="1" applyBorder="1" applyAlignment="1">
      <x:alignment vertical="center"/>
    </x:xf>
    <x:xf numFmtId="0" fontId="8" fillId="0" borderId="4" xfId="0" applyFont="1" applyBorder="1" applyAlignment="1">
      <x:alignment horizontal="center" vertical="center"/>
    </x:xf>
    <x:xf numFmtId="43" fontId="8" fillId="0" borderId="5" xfId="1" applyFont="1" applyBorder="1" applyAlignment="1">
      <x:alignment horizontal="center" vertical="center"/>
    </x:xf>
    <x:xf numFmtId="0" fontId="8" fillId="0" borderId="8" xfId="0" applyFont="1" applyBorder="1" applyAlignment="1">
      <x:alignment vertical="center"/>
    </x:xf>
    <x:xf numFmtId="43" fontId="5" fillId="0" borderId="9" xfId="1" applyFont="1" applyBorder="1" applyAlignment="1">
      <x:alignment vertical="center"/>
    </x:xf>
    <x:xf numFmtId="0" fontId="8" fillId="0" borderId="6" xfId="0" applyFont="1" applyBorder="1" applyAlignment="1">
      <x:alignment vertical="center"/>
    </x:xf>
    <x:xf numFmtId="43" fontId="5" fillId="0" borderId="7" xfId="1" applyFont="1" applyBorder="1" applyAlignment="1">
      <x:alignment vertical="center"/>
    </x:xf>
    <x:xf numFmtId="0" fontId="8" fillId="3" borderId="4" xfId="0" applyFont="1" applyFill="1" applyBorder="1" applyAlignment="1">
      <x:alignment horizontal="center" vertical="center"/>
    </x:xf>
    <x:xf numFmtId="43" fontId="8" fillId="3" borderId="5" xfId="1" applyFont="1" applyFill="1" applyBorder="1" applyAlignment="1">
      <x:alignment horizontal="center" vertical="center"/>
    </x:xf>
    <x:xf numFmtId="0" fontId="8" fillId="3" borderId="6" xfId="0" applyFont="1" applyFill="1" applyBorder="1" applyAlignment="1">
      <x:alignment vertical="center"/>
    </x:xf>
    <x:xf numFmtId="43" fontId="5" fillId="3" borderId="7" xfId="1" applyFont="1" applyFill="1" applyBorder="1" applyAlignment="1">
      <x:alignment vertical="center"/>
    </x:xf>
    <x:xf numFmtId="0" fontId="10" fillId="2" borderId="8" xfId="3" applyFont="1" applyFill="1" applyBorder="1" applyAlignment="1">
      <x:alignment vertical="center"/>
    </x:xf>
    <x:xf numFmtId="0" fontId="0" fillId="0" borderId="0" xfId="0" applyAlignment="1">
      <x:alignment horizontal="left" vertical="center"/>
    </x:xf>
    <x:xf numFmtId="0" fontId="11" fillId="0" borderId="0" xfId="0" applyFont="1"/>
    <x:xf numFmtId="43" fontId="11" fillId="0" borderId="0" xfId="1" applyFont="1" applyAlignment="1"/>
    <x:xf numFmtId="0" fontId="12" fillId="2" borderId="4" xfId="0" applyFont="1" applyFill="1" applyBorder="1" applyAlignment="1">
      <x:alignment horizontal="center" vertical="center"/>
    </x:xf>
    <x:xf numFmtId="43" fontId="12" fillId="2" borderId="5" xfId="1" applyFont="1" applyFill="1" applyBorder="1" applyAlignment="1">
      <x:alignment horizontal="center" vertical="center"/>
    </x:xf>
    <x:xf numFmtId="0" fontId="11" fillId="0" borderId="6" xfId="0" applyFont="1" applyBorder="1" applyAlignment="1">
      <x:alignment horizontal="left" vertical="center"/>
    </x:xf>
    <x:xf numFmtId="4" fontId="11" fillId="0" borderId="7" xfId="0" applyNumberFormat="1" applyFont="1" applyBorder="1" applyAlignment="1">
      <x:alignment horizontal="center" vertical="center"/>
    </x:xf>
    <x:xf numFmtId="0" fontId="12" fillId="2" borderId="6" xfId="0" applyFont="1" applyFill="1" applyBorder="1" applyAlignment="1">
      <x:alignment horizontal="left" vertical="center"/>
    </x:xf>
    <x:xf numFmtId="4" fontId="13" fillId="2" borderId="7" xfId="0" applyNumberFormat="1" applyFont="1" applyFill="1" applyBorder="1" applyAlignment="1">
      <x:alignment horizontal="center" vertical="center"/>
    </x:xf>
    <x:xf numFmtId="0" fontId="12" fillId="2" borderId="8" xfId="0" applyFont="1" applyFill="1" applyBorder="1" applyAlignment="1">
      <x:alignment horizontal="left" vertical="center"/>
    </x:xf>
    <x:xf numFmtId="4" fontId="13" fillId="2" borderId="9" xfId="0" applyNumberFormat="1" applyFont="1" applyFill="1" applyBorder="1" applyAlignment="1">
      <x:alignment horizontal="center" vertical="center"/>
    </x:xf>
    <x:xf numFmtId="43" fontId="12" fillId="2" borderId="0" xfId="1" applyFont="1" applyFill="1" applyBorder="1" applyAlignment="1">
      <x:alignment horizontal="center" vertical="center"/>
    </x:xf>
    <x:xf numFmtId="4" fontId="11" fillId="0" borderId="0" xfId="0" applyNumberFormat="1" applyFont="1" applyAlignment="1">
      <x:alignment horizontal="center" vertical="center"/>
    </x:xf>
    <x:xf numFmtId="4" fontId="13" fillId="2" borderId="0" xfId="0" applyNumberFormat="1" applyFont="1" applyFill="1" applyAlignment="1">
      <x:alignment horizontal="center" vertical="center"/>
    </x:xf>
    <x:xf numFmtId="0" fontId="14" fillId="0" borderId="0" xfId="0" applyFont="1" applyAlignment="1">
      <x:alignment vertical="center"/>
    </x:xf>
    <x:xf numFmtId="0" fontId="15" fillId="0" borderId="0" xfId="0" applyFont="1" applyAlignment="1">
      <x:alignment vertical="center"/>
    </x:xf>
    <x:xf numFmtId="0" fontId="16" fillId="0" borderId="0" xfId="0" applyFont="1" applyAlignment="1">
      <x:alignment horizontal="left" vertical="center"/>
    </x:xf>
    <x:xf numFmtId="0" fontId="16" fillId="0" borderId="0" xfId="0" applyFont="1" applyAlignment="1">
      <x:alignment vertical="center"/>
    </x:xf>
    <x:xf numFmtId="0" fontId="16" fillId="0" borderId="1" xfId="0" applyFont="1" applyBorder="1" applyAlignment="1">
      <x:alignment horizontal="center" vertical="center"/>
    </x:xf>
    <x:xf numFmtId="0" fontId="15" fillId="0" borderId="1" xfId="0" applyFont="1" applyBorder="1" applyAlignment="1">
      <x:alignment vertical="center"/>
    </x:xf>
    <x:xf numFmtId="0" fontId="0" fillId="0" borderId="0" xfId="0" applyAlignment="1">
      <x:alignment vertical="center" wrapText="1"/>
    </x:xf>
    <x:xf numFmtId="0" fontId="16" fillId="0" borderId="0" xfId="0" applyFont="1" applyAlignment="1">
      <x:alignment horizontal="center" vertical="center"/>
    </x:xf>
    <x:xf numFmtId="0" fontId="17" fillId="0" borderId="0" xfId="0" applyFont="1" applyAlignment="1">
      <x:alignment vertical="center" wrapText="1"/>
    </x:xf>
    <x:xf numFmtId="0" fontId="18" fillId="0" borderId="0" xfId="0" applyFont="1" applyAlignment="1">
      <x:alignment vertical="center"/>
    </x:xf>
    <x:xf numFmtId="0" fontId="19" fillId="0" borderId="0" xfId="0" applyFont="1" applyAlignment="1">
      <x:alignment vertical="center"/>
    </x:xf>
    <x:xf numFmtId="0" fontId="20" fillId="0" borderId="0" xfId="0" applyFont="1" applyAlignment="1">
      <x:alignment horizontal="left" vertical="center"/>
    </x:xf>
    <x:xf numFmtId="0" fontId="20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4" fontId="0" fillId="0" borderId="1" xfId="0" applyNumberFormat="1" applyBorder="1" applyAlignment="1">
      <x:alignment horizontal="center" vertical="center" wrapText="1"/>
    </x:xf>
    <x:xf numFmtId="10" fontId="0" fillId="0" borderId="1" xfId="0" applyNumberFormat="1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 wrapText="1"/>
    </x:xf>
    <x:xf numFmtId="10" fontId="0" fillId="0" borderId="0" xfId="0" applyNumberFormat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43" fontId="22" fillId="0" borderId="0" xfId="0" applyNumberFormat="1" applyFont="1" applyFill="1" applyBorder="1"/>
    <x:xf numFmtId="0" fontId="22" fillId="0" borderId="0" xfId="0" applyNumberFormat="1" applyFont="1" applyFill="1" applyBorder="1"/>
    <x:xf numFmtId="0" fontId="21" fillId="0" borderId="0" xfId="0" applyNumberFormat="1" applyFont="1" applyFill="1" applyBorder="1" applyAlignment="1">
      <x:alignment horizontal="left" vertical="center"/>
    </x:xf>
    <x:xf numFmtId="0" fontId="21" fillId="0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horizontal="center" vertical="center" wrapText="1"/>
    </x:xf>
    <x:xf numFmtId="4" fontId="23" fillId="0" borderId="1" xfId="0" applyNumberFormat="1" applyFont="1" applyFill="1" applyBorder="1" applyAlignment="1">
      <x:alignment horizontal="center" vertical="center" wrapText="1"/>
    </x:xf>
    <x:xf numFmtId="10" fontId="23" fillId="0" borderId="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center" vertical="center" wrapText="1"/>
    </x:xf>
    <x:xf numFmtId="10" fontId="23" fillId="0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left" vertical="center"/>
    </x:xf>
    <x:xf numFmtId="0" fontId="23" fillId="0" borderId="0" xfId="0" applyNumberFormat="1" applyFont="1" applyFill="1" applyBorder="1"/>
    <x:xf numFmtId="0" fontId="24" fillId="0" borderId="0" xfId="0" applyNumberFormat="1" applyFont="1" applyFill="1" applyBorder="1" applyAlignment="1">
      <x:alignment vertical="center"/>
    </x:xf>
    <x:xf numFmtId="0" fontId="25" fillId="0" borderId="4" xfId="0" applyNumberFormat="1" applyFont="1" applyFill="1" applyBorder="1" applyAlignment="1">
      <x:alignment horizontal="center" vertical="center"/>
    </x:xf>
    <x:xf numFmtId="43" fontId="25" fillId="0" borderId="5" xfId="0" applyNumberFormat="1" applyFont="1" applyFill="1" applyBorder="1" applyAlignment="1">
      <x:alignment horizontal="center" vertical="center"/>
    </x:xf>
    <x:xf numFmtId="0" fontId="22" fillId="0" borderId="6" xfId="0" applyNumberFormat="1" applyFont="1" applyFill="1" applyBorder="1" applyAlignment="1">
      <x:alignment vertical="center"/>
    </x:xf>
    <x:xf numFmtId="43" fontId="22" fillId="0" borderId="7" xfId="0" applyNumberFormat="1" applyFont="1" applyFill="1" applyBorder="1" applyAlignment="1">
      <x:alignment vertical="center"/>
    </x:xf>
    <x:xf numFmtId="0" fontId="25" fillId="0" borderId="6" xfId="0" applyNumberFormat="1" applyFont="1" applyFill="1" applyBorder="1" applyAlignment="1">
      <x:alignment vertical="center"/>
    </x:xf>
    <x:xf numFmtId="43" fontId="24" fillId="0" borderId="7" xfId="0" applyNumberFormat="1" applyFont="1" applyFill="1" applyBorder="1" applyAlignment="1">
      <x:alignment vertical="center"/>
    </x:xf>
    <x:xf numFmtId="0" fontId="25" fillId="0" borderId="8" xfId="0" applyNumberFormat="1" applyFont="1" applyFill="1" applyBorder="1" applyAlignment="1">
      <x:alignment vertical="center"/>
    </x:xf>
    <x:xf numFmtId="43" fontId="24" fillId="0" borderId="9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/>
    <x:xf numFmtId="43" fontId="26" fillId="0" borderId="0" xfId="0" applyNumberFormat="1" applyFont="1" applyFill="1" applyBorder="1"/>
    <x:xf numFmtId="0" fontId="27" fillId="2" borderId="4" xfId="0" applyNumberFormat="1" applyFont="1" applyFill="1" applyBorder="1" applyAlignment="1">
      <x:alignment horizontal="center" vertical="center"/>
    </x:xf>
    <x:xf numFmtId="43" fontId="27" fillId="2" borderId="5" xfId="0" applyNumberFormat="1" applyFont="1" applyFill="1" applyBorder="1" applyAlignment="1">
      <x:alignment horizontal="center" vertical="center"/>
    </x:xf>
    <x:xf numFmtId="43" fontId="27" fillId="2" borderId="0" xfId="0" applyNumberFormat="1" applyFont="1" applyFill="1" applyBorder="1" applyAlignment="1">
      <x:alignment horizontal="center" vertical="center"/>
    </x:xf>
    <x:xf numFmtId="0" fontId="26" fillId="0" borderId="6" xfId="0" applyNumberFormat="1" applyFont="1" applyFill="1" applyBorder="1" applyAlignment="1">
      <x:alignment horizontal="left" vertical="center"/>
    </x:xf>
    <x:xf numFmtId="4" fontId="26" fillId="0" borderId="7" xfId="0" applyNumberFormat="1" applyFont="1" applyFill="1" applyBorder="1" applyAlignment="1">
      <x:alignment horizontal="center" vertical="center"/>
    </x:xf>
    <x:xf numFmtId="4" fontId="26" fillId="0" borderId="0" xfId="0" applyNumberFormat="1" applyFont="1" applyFill="1" applyBorder="1" applyAlignment="1">
      <x:alignment horizontal="center" vertical="center"/>
    </x:xf>
    <x:xf numFmtId="0" fontId="27" fillId="2" borderId="6" xfId="0" applyNumberFormat="1" applyFont="1" applyFill="1" applyBorder="1" applyAlignment="1">
      <x:alignment horizontal="left" vertical="center"/>
    </x:xf>
    <x:xf numFmtId="4" fontId="28" fillId="2" borderId="7" xfId="0" applyNumberFormat="1" applyFont="1" applyFill="1" applyBorder="1" applyAlignment="1">
      <x:alignment horizontal="center" vertical="center"/>
    </x:xf>
    <x:xf numFmtId="4" fontId="28" fillId="2" borderId="0" xfId="0" applyNumberFormat="1" applyFont="1" applyFill="1" applyBorder="1" applyAlignment="1">
      <x:alignment horizontal="center" vertical="center"/>
    </x:xf>
    <x:xf numFmtId="0" fontId="27" fillId="2" borderId="8" xfId="0" applyNumberFormat="1" applyFont="1" applyFill="1" applyBorder="1" applyAlignment="1">
      <x:alignment horizontal="left" vertical="center"/>
    </x:xf>
    <x:xf numFmtId="4" fontId="28" fillId="2" borderId="9" xfId="0" applyNumberFormat="1" applyFont="1" applyFill="1" applyBorder="1" applyAlignment="1">
      <x:alignment horizontal="center" vertical="center"/>
    </x:xf>
    <x:xf numFmtId="0" fontId="25" fillId="3" borderId="4" xfId="0" applyNumberFormat="1" applyFont="1" applyFill="1" applyBorder="1" applyAlignment="1">
      <x:alignment horizontal="center" vertical="center"/>
    </x:xf>
    <x:xf numFmtId="43" fontId="25" fillId="3" borderId="5" xfId="0" applyNumberFormat="1" applyFont="1" applyFill="1" applyBorder="1" applyAlignment="1">
      <x:alignment horizontal="center" vertical="center"/>
    </x:xf>
    <x:xf numFmtId="0" fontId="25" fillId="3" borderId="6" xfId="0" applyNumberFormat="1" applyFont="1" applyFill="1" applyBorder="1" applyAlignment="1">
      <x:alignment vertical="center"/>
    </x:xf>
    <x:xf numFmtId="43" fontId="24" fillId="3" borderId="7" xfId="0" applyNumberFormat="1" applyFont="1" applyFill="1" applyBorder="1" applyAlignment="1">
      <x:alignment vertical="center"/>
    </x:xf>
    <x:xf numFmtId="0" fontId="25" fillId="3" borderId="8" xfId="0" applyNumberFormat="1" applyFont="1" applyFill="1" applyBorder="1" applyAlignment="1">
      <x:alignment vertical="center"/>
    </x:xf>
    <x:xf numFmtId="43" fontId="24" fillId="3" borderId="9" xfId="0" applyNumberFormat="1" applyFont="1" applyFill="1" applyBorder="1" applyAlignment="1">
      <x:alignment vertical="center"/>
    </x:xf>
    <x:xf numFmtId="0" fontId="29" fillId="2" borderId="4" xfId="0" applyNumberFormat="1" applyFont="1" applyFill="1" applyBorder="1" applyAlignment="1">
      <x:alignment horizontal="center" vertical="center"/>
    </x:xf>
    <x:xf numFmtId="43" fontId="29" fillId="2" borderId="5" xfId="0" applyNumberFormat="1" applyFont="1" applyFill="1" applyBorder="1" applyAlignment="1">
      <x:alignment horizontal="center" vertical="center"/>
    </x:xf>
    <x:xf numFmtId="4" fontId="22" fillId="0" borderId="7" xfId="0" applyNumberFormat="1" applyFont="1" applyFill="1" applyBorder="1" applyAlignment="1">
      <x:alignment horizontal="center" vertical="center"/>
    </x:xf>
    <x:xf numFmtId="0" fontId="30" fillId="0" borderId="6" xfId="0" applyNumberFormat="1" applyFont="1" applyFill="1" applyBorder="1" applyAlignment="1">
      <x:alignment vertical="center"/>
    </x:xf>
    <x:xf numFmtId="4" fontId="31" fillId="0" borderId="7" xfId="0" applyNumberFormat="1" applyFont="1" applyFill="1" applyBorder="1" applyAlignment="1">
      <x:alignment horizontal="center" vertical="center"/>
    </x:xf>
    <x:xf numFmtId="0" fontId="29" fillId="2" borderId="8" xfId="0" applyNumberFormat="1" applyFont="1" applyFill="1" applyBorder="1" applyAlignment="1">
      <x:alignment vertical="center"/>
    </x:xf>
    <x:xf numFmtId="4" fontId="24" fillId="2" borderId="9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 applyAlignment="1">
      <x:alignment vertical="center"/>
    </x:xf>
    <x:xf numFmtId="43" fontId="23" fillId="0" borderId="0" xfId="0" applyNumberFormat="1" applyFont="1" applyFill="1" applyBorder="1"/>
    <x:xf numFmtId="0" fontId="33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 applyAlignment="1">
      <x:alignment horizontal="left" vertical="center"/>
    </x:xf>
    <x:xf numFmtId="0" fontId="34" fillId="0" borderId="0" xfId="0" applyNumberFormat="1" applyFont="1" applyFill="1" applyBorder="1" applyAlignment="1">
      <x:alignment vertical="center"/>
    </x:xf>
    <x:xf numFmtId="0" fontId="34" fillId="0" borderId="1" xfId="0" applyNumberFormat="1" applyFont="1" applyFill="1" applyBorder="1" applyAlignment="1">
      <x:alignment horizontal="center" vertical="center"/>
    </x:xf>
    <x:xf numFmtId="0" fontId="33" fillId="0" borderId="1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horizontal="center" vertical="center"/>
    </x:xf>
    <x:xf numFmtId="0" fontId="35" fillId="0" borderId="0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vertical="center"/>
    </x:xf>
    <x:xf numFmtId="43" fontId="37" fillId="0" borderId="0" xfId="0" applyNumberFormat="1" applyFont="1" applyFill="1" applyBorder="1"/>
    <x:xf numFmtId="0" fontId="21" fillId="4" borderId="0" xfId="0" applyNumberFormat="1" applyFont="1" applyFill="1" applyBorder="1" applyAlignment="1">
      <x:alignment vertical="center"/>
    </x:xf>
    <x:xf numFmtId="0" fontId="22" fillId="4" borderId="0" xfId="0" applyNumberFormat="1" applyFont="1" applyFill="1" applyBorder="1"/>
    <x:xf numFmtId="43" fontId="22" fillId="4" borderId="0" xfId="0" applyNumberFormat="1" applyFont="1" applyFill="1" applyBorder="1"/>
    <x:xf numFmtId="0" fontId="38" fillId="4" borderId="0" xfId="0" applyNumberFormat="1" applyFont="1" applyFill="1" applyBorder="1" applyAlignment="1">
      <x:alignment vertical="center"/>
    </x:xf>
    <x:xf numFmtId="0" fontId="39" fillId="4" borderId="0" xfId="0" applyNumberFormat="1" applyFont="1" applyFill="1" applyBorder="1"/>
    <x:xf numFmtId="43" fontId="39" fillId="4" borderId="0" xfId="0" applyNumberFormat="1" applyFont="1" applyFill="1" applyBorder="1"/>
    <x:xf numFmtId="0" fontId="21" fillId="5" borderId="0" xfId="0" applyNumberFormat="1" applyFont="1" applyFill="1" applyBorder="1" applyAlignment="1">
      <x:alignment horizontal="left" vertical="center"/>
    </x:xf>
    <x:xf numFmtId="0" fontId="22" fillId="5" borderId="0" xfId="0" applyNumberFormat="1" applyFont="1" applyFill="1" applyBorder="1"/>
    <x:xf numFmtId="43" fontId="22" fillId="5" borderId="0" xfId="0" applyNumberFormat="1" applyFont="1" applyFill="1" applyBorder="1"/>
    <x:xf numFmtId="0" fontId="21" fillId="5" borderId="0" xfId="0" applyNumberFormat="1" applyFont="1" applyFill="1" applyBorder="1" applyAlignment="1">
      <x:alignment horizontal="left" vertical="center" wrapText="1"/>
    </x:xf>
    <x:xf numFmtId="0" fontId="22" fillId="5" borderId="0" xfId="0" applyNumberFormat="1" applyFont="1" applyFill="1" applyBorder="1" applyAlignment="1">
      <x:alignment wrapText="1"/>
    </x:xf>
    <x:xf numFmtId="43" fontId="22" fillId="5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 applyAlignment="1">
      <x:alignment horizontal="left" vertical="top" wrapText="1"/>
    </x:xf>
    <x:xf numFmtId="0" fontId="22" fillId="5" borderId="0" xfId="0" applyNumberFormat="1" applyFont="1" applyFill="1" applyBorder="1" applyAlignment="1">
      <x:alignment vertical="top" wrapText="1"/>
    </x:xf>
    <x:xf numFmtId="43" fontId="22" fillId="5" borderId="0" xfId="0" applyNumberFormat="1" applyFont="1" applyFill="1" applyBorder="1" applyAlignment="1">
      <x:alignment vertical="top" wrapText="1"/>
    </x:xf>
    <x:xf numFmtId="0" fontId="23" fillId="5" borderId="0" xfId="0" applyNumberFormat="1" applyFont="1" applyFill="1" applyBorder="1" applyAlignment="1">
      <x:alignment horizontal="left" vertical="center"/>
    </x:xf>
    <x:xf numFmtId="0" fontId="23" fillId="5" borderId="0" xfId="0" applyNumberFormat="1" applyFont="1" applyFill="1" applyBorder="1" applyAlignment="1">
      <x:alignment horizontal="left" vertical="center" wrapText="1"/>
    </x:xf>
    <x:xf numFmtId="0" fontId="23" fillId="5" borderId="0" xfId="0" applyNumberFormat="1" applyFont="1" applyFill="1" applyBorder="1" applyAlignment="1">
      <x:alignment horizontal="left" vertical="top" wrapText="1"/>
    </x:xf>
    <x:xf numFmtId="0" fontId="23" fillId="5" borderId="0" xfId="0" applyNumberFormat="1" applyFont="1" applyFill="1" applyBorder="1"/>
    <x:xf numFmtId="0" fontId="23" fillId="5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 applyAlignment="1">
      <x:alignment vertical="top" wrapText="1"/>
    </x:xf>
    <x:xf numFmtId="0" fontId="21" fillId="4" borderId="1" xfId="0" applyNumberFormat="1" applyFont="1" applyFill="1" applyBorder="1" applyAlignment="1">
      <x:alignment horizontal="center" vertical="center" wrapText="1"/>
    </x:xf>
    <x:xf numFmtId="0" fontId="38" fillId="4" borderId="1" xfId="0" applyNumberFormat="1" applyFont="1" applyFill="1" applyBorder="1" applyAlignment="1">
      <x:alignment horizontal="center" vertical="center" wrapText="1"/>
    </x:xf>
    <x:xf numFmtId="200" fontId="23" fillId="0" borderId="1" xfId="0" applyNumberFormat="1" applyFont="1" applyFill="1" applyBorder="1" applyAlignment="1">
      <x:alignment horizontal="center" vertical="center" wrapText="1"/>
    </x:xf>
    <x:xf numFmtId="201" fontId="23" fillId="0" borderId="1" xfId="0" applyNumberFormat="1" applyFont="1" applyFill="1" applyBorder="1" applyAlignment="1">
      <x:alignment horizontal="center" vertical="center" wrapText="1"/>
    </x:xf>
    <x:xf numFmtId="0" fontId="25" fillId="4" borderId="4" xfId="0" applyNumberFormat="1" applyFont="1" applyFill="1" applyBorder="1" applyAlignment="1">
      <x:alignment horizontal="center" vertical="center"/>
    </x:xf>
    <x:xf numFmtId="43" fontId="25" fillId="4" borderId="5" xfId="0" applyNumberFormat="1" applyFont="1" applyFill="1" applyBorder="1" applyAlignment="1">
      <x:alignment horizontal="center" vertical="center"/>
    </x:xf>
    <x:xf numFmtId="0" fontId="39" fillId="4" borderId="4" xfId="0" applyNumberFormat="1" applyFont="1" applyFill="1" applyBorder="1" applyAlignment="1">
      <x:alignment horizontal="center" vertical="center"/>
    </x:xf>
    <x:xf numFmtId="43" fontId="39" fillId="4" borderId="5" xfId="0" applyNumberFormat="1" applyFont="1" applyFill="1" applyBorder="1" applyAlignment="1">
      <x:alignment horizontal="center" vertical="center"/>
    </x:xf>
    <x:xf numFmtId="0" fontId="29" fillId="4" borderId="4" xfId="0" applyNumberFormat="1" applyFont="1" applyFill="1" applyBorder="1" applyAlignment="1">
      <x:alignment horizontal="center" vertical="center"/>
    </x:xf>
    <x:xf numFmtId="43" fontId="29" fillId="4" borderId="5" xfId="0" applyNumberFormat="1" applyFont="1" applyFill="1" applyBorder="1" applyAlignment="1">
      <x:alignment horizontal="center" vertical="center"/>
    </x:xf>
    <x:xf numFmtId="43" fontId="40" fillId="0" borderId="7" xfId="0" applyNumberFormat="1" applyFont="1" applyFill="1" applyBorder="1" applyAlignment="1">
      <x:alignment vertical="center"/>
    </x:xf>
    <x:xf numFmtId="43" fontId="40" fillId="6" borderId="7" xfId="0" applyNumberFormat="1" applyFont="1" applyFill="1" applyBorder="1" applyAlignment="1">
      <x:alignment vertical="center"/>
    </x:xf>
    <x:xf numFmtId="43" fontId="41" fillId="0" borderId="7" xfId="0" applyNumberFormat="1" applyFont="1" applyFill="1" applyBorder="1" applyAlignment="1">
      <x:alignment vertical="center"/>
    </x:xf>
    <x:xf numFmtId="43" fontId="41" fillId="6" borderId="7" xfId="0" applyNumberFormat="1" applyFont="1" applyFill="1" applyBorder="1" applyAlignment="1">
      <x:alignment vertical="center"/>
    </x:xf>
    <x:xf numFmtId="4" fontId="40" fillId="0" borderId="7" xfId="0" applyNumberFormat="1" applyFont="1" applyFill="1" applyBorder="1" applyAlignment="1">
      <x:alignment horizontal="center" vertical="center"/>
    </x:xf>
    <x:xf numFmtId="4" fontId="40" fillId="6" borderId="7" xfId="0" applyNumberFormat="1" applyFont="1" applyFill="1" applyBorder="1" applyAlignment="1">
      <x:alignment horizontal="center" vertical="center"/>
    </x:xf>
    <x:xf numFmtId="0" fontId="40" fillId="0" borderId="0" xfId="0" applyNumberFormat="1" applyFont="1" applyFill="1" applyBorder="1"/>
    <x:xf numFmtId="0" fontId="40" fillId="6" borderId="0" xfId="0" applyNumberFormat="1" applyFont="1" applyFill="1" applyBorder="1"/>
    <x:xf numFmtId="43" fontId="42" fillId="0" borderId="7" xfId="0" applyNumberFormat="1" applyFont="1" applyFill="1" applyBorder="1" applyAlignment="1">
      <x:alignment vertical="center"/>
    </x:xf>
    <x:xf numFmtId="43" fontId="42" fillId="0" borderId="9" xfId="0" applyNumberFormat="1" applyFont="1" applyFill="1" applyBorder="1" applyAlignment="1">
      <x:alignment vertical="center"/>
    </x:xf>
    <x:xf numFmtId="43" fontId="42" fillId="3" borderId="7" xfId="0" applyNumberFormat="1" applyFont="1" applyFill="1" applyBorder="1" applyAlignment="1">
      <x:alignment vertical="center"/>
    </x:xf>
    <x:xf numFmtId="43" fontId="42" fillId="3" borderId="9" xfId="0" applyNumberFormat="1" applyFont="1" applyFill="1" applyBorder="1" applyAlignment="1">
      <x:alignment vertical="center"/>
    </x:xf>
    <x:xf numFmtId="0" fontId="43" fillId="0" borderId="0" xfId="0" applyNumberFormat="1" applyFont="1" applyFill="1" applyBorder="1"/>
    <x:xf numFmtId="4" fontId="43" fillId="0" borderId="7" xfId="0" applyNumberFormat="1" applyFont="1" applyFill="1" applyBorder="1" applyAlignment="1">
      <x:alignment horizontal="center" vertical="center"/>
    </x:xf>
    <x:xf numFmtId="4" fontId="42" fillId="2" borderId="9" xfId="0" applyNumberFormat="1" applyFont="1" applyFill="1" applyBorder="1" applyAlignment="1">
      <x:alignment horizontal="center" vertical="center"/>
    </x:xf>
    <x:xf numFmtId="43" fontId="40" fillId="0" borderId="0" xfId="0" applyNumberFormat="1" applyFont="1" applyFill="1" applyBorder="1"/>
    <x:xf numFmtId="43" fontId="40" fillId="6" borderId="0" xfId="0" applyNumberFormat="1" applyFont="1" applyFill="1" applyBorder="1"/>
    <x:xf numFmtId="43" fontId="43" fillId="0" borderId="0" xfId="0" applyNumberFormat="1" applyFont="1" applyFill="1" applyBorder="1"/>
    <x:xf numFmtId="202" fontId="40" fillId="6" borderId="7" xfId="0" applyNumberFormat="1" applyFont="1" applyFill="1" applyBorder="1" applyAlignment="1">
      <x:alignment vertical="center"/>
    </x:xf>
    <x:xf numFmtId="202" fontId="42" fillId="0" borderId="7" xfId="0" applyNumberFormat="1" applyFont="1" applyFill="1" applyBorder="1" applyAlignment="1">
      <x:alignment vertical="center"/>
    </x:xf>
    <x:xf numFmtId="202" fontId="41" fillId="6" borderId="7" xfId="0" applyNumberFormat="1" applyFont="1" applyFill="1" applyBorder="1" applyAlignment="1">
      <x:alignment vertical="center"/>
    </x:xf>
    <x:xf numFmtId="202" fontId="42" fillId="0" borderId="9" xfId="0" applyNumberFormat="1" applyFont="1" applyFill="1" applyBorder="1" applyAlignment="1">
      <x:alignment vertical="center"/>
    </x:xf>
    <x:xf numFmtId="202" fontId="26" fillId="0" borderId="0" xfId="0" applyNumberFormat="1" applyFont="1" applyFill="1" applyBorder="1"/>
    <x:xf numFmtId="202" fontId="27" fillId="2" borderId="4" xfId="0" applyNumberFormat="1" applyFont="1" applyFill="1" applyBorder="1" applyAlignment="1">
      <x:alignment horizontal="center" vertical="center"/>
    </x:xf>
    <x:xf numFmtId="202" fontId="27" fillId="2" borderId="5" xfId="0" applyNumberFormat="1" applyFont="1" applyFill="1" applyBorder="1" applyAlignment="1">
      <x:alignment horizontal="center" vertical="center"/>
    </x:xf>
    <x:xf numFmtId="202" fontId="26" fillId="0" borderId="6" xfId="0" applyNumberFormat="1" applyFont="1" applyFill="1" applyBorder="1" applyAlignment="1">
      <x:alignment horizontal="left" vertical="center"/>
    </x:xf>
    <x:xf numFmtId="202" fontId="26" fillId="0" borderId="7" xfId="0" applyNumberFormat="1" applyFont="1" applyFill="1" applyBorder="1" applyAlignment="1">
      <x:alignment horizontal="center" vertical="center"/>
    </x:xf>
    <x:xf numFmtId="202" fontId="27" fillId="2" borderId="6" xfId="0" applyNumberFormat="1" applyFont="1" applyFill="1" applyBorder="1" applyAlignment="1">
      <x:alignment horizontal="left" vertical="center"/>
    </x:xf>
    <x:xf numFmtId="202" fontId="28" fillId="2" borderId="7" xfId="0" applyNumberFormat="1" applyFont="1" applyFill="1" applyBorder="1" applyAlignment="1">
      <x:alignment horizontal="center" vertical="center"/>
    </x:xf>
    <x:xf numFmtId="202" fontId="27" fillId="2" borderId="8" xfId="0" applyNumberFormat="1" applyFont="1" applyFill="1" applyBorder="1" applyAlignment="1">
      <x:alignment horizontal="left" vertical="center"/>
    </x:xf>
    <x:xf numFmtId="202" fontId="28" fillId="2" borderId="9" xfId="0" applyNumberFormat="1" applyFont="1" applyFill="1" applyBorder="1" applyAlignment="1">
      <x:alignment horizontal="center" vertical="center"/>
    </x:xf>
    <x:xf numFmtId="202" fontId="39" fillId="4" borderId="5" xfId="0" applyNumberFormat="1" applyFont="1" applyFill="1" applyBorder="1" applyAlignment="1">
      <x:alignment horizontal="center" vertical="center"/>
    </x:xf>
    <x:xf numFmtId="202" fontId="42" fillId="3" borderId="7" xfId="0" applyNumberFormat="1" applyFont="1" applyFill="1" applyBorder="1" applyAlignment="1">
      <x:alignment vertical="center"/>
    </x:xf>
    <x:xf numFmtId="202" fontId="42" fillId="3" borderId="9" xfId="0" applyNumberFormat="1" applyFont="1" applyFill="1" applyBorder="1" applyAlignment="1">
      <x:alignment vertical="center"/>
    </x:xf>
    <x:xf numFmtId="202" fontId="43" fillId="0" borderId="0" xfId="0" applyNumberFormat="1" applyFont="1" applyFill="1" applyBorder="1"/>
    <x:xf numFmtId="202" fontId="40" fillId="6" borderId="7" xfId="0" applyNumberFormat="1" applyFont="1" applyFill="1" applyBorder="1" applyAlignment="1">
      <x:alignment horizontal="center" vertical="center"/>
    </x:xf>
    <x:xf numFmtId="202" fontId="43" fillId="0" borderId="7" xfId="0" applyNumberFormat="1" applyFont="1" applyFill="1" applyBorder="1" applyAlignment="1">
      <x:alignment horizontal="center" vertical="center"/>
    </x:xf>
    <x:xf numFmtId="202" fontId="42" fillId="2" borderId="9" xfId="0" applyNumberFormat="1" applyFont="1" applyFill="1" applyBorder="1" applyAlignment="1">
      <x:alignment horizontal="center" vertical="center"/>
    </x:xf>
    <x:xf numFmtId="202" fontId="22" fillId="0" borderId="0" xfId="0" applyNumberFormat="1" applyFont="1" applyFill="1" applyBorder="1"/>
    <x:xf numFmtId="202" fontId="39" fillId="4" borderId="0" xfId="0" applyNumberFormat="1" applyFont="1" applyFill="1" applyBorder="1"/>
    <x:xf numFmtId="202" fontId="40" fillId="6" borderId="0" xfId="0" applyNumberFormat="1" applyFont="1" applyFill="1" applyBorder="1"/>
    <x:xf numFmtId="202" fontId="22" fillId="0" borderId="7" xfId="0" applyNumberFormat="1" applyFont="1" applyFill="1" applyBorder="1" applyAlignment="1">
      <x:alignment vertical="center"/>
    </x:xf>
    <x:xf numFmtId="202" fontId="24" fillId="0" borderId="7" xfId="0" applyNumberFormat="1" applyFont="1" applyFill="1" applyBorder="1" applyAlignment="1">
      <x:alignment vertical="center"/>
    </x:xf>
    <x:xf numFmtId="202" fontId="24" fillId="0" borderId="9" xfId="0" applyNumberFormat="1" applyFont="1" applyFill="1" applyBorder="1" applyAlignment="1">
      <x:alignment vertical="center"/>
    </x:xf>
    <x:xf numFmtId="202" fontId="24" fillId="3" borderId="7" xfId="0" applyNumberFormat="1" applyFont="1" applyFill="1" applyBorder="1" applyAlignment="1">
      <x:alignment vertical="center"/>
    </x:xf>
    <x:xf numFmtId="202" fontId="24" fillId="3" borderId="9" xfId="0" applyNumberFormat="1" applyFont="1" applyFill="1" applyBorder="1" applyAlignment="1">
      <x:alignment vertical="center"/>
    </x:xf>
    <x:xf numFmtId="202" fontId="22" fillId="0" borderId="7" xfId="0" applyNumberFormat="1" applyFont="1" applyFill="1" applyBorder="1" applyAlignment="1">
      <x:alignment horizontal="center" vertical="center"/>
    </x:xf>
    <x:xf numFmtId="202" fontId="31" fillId="0" borderId="7" xfId="0" applyNumberFormat="1" applyFont="1" applyFill="1" applyBorder="1" applyAlignment="1">
      <x:alignment horizontal="center" vertical="center"/>
    </x:xf>
    <x:xf numFmtId="202" fontId="24" fillId="2" borderId="9" xfId="0" applyNumberFormat="1" applyFont="1" applyFill="1" applyBorder="1" applyAlignment="1">
      <x:alignment horizontal="center" vertical="center"/>
    </x:xf>
    <x:xf numFmtId="0" fontId="22" fillId="0" borderId="6" xfId="0" applyNumberFormat="1" applyFont="1" applyFill="1" applyBorder="1" applyAlignment="1">
      <x:alignment vertical="center" wrapText="1"/>
    </x:xf>
    <x:xf numFmtId="0" fontId="25" fillId="0" borderId="6" xfId="0" applyNumberFormat="1" applyFont="1" applyFill="1" applyBorder="1" applyAlignment="1">
      <x:alignment vertical="center" wrapText="1"/>
    </x:xf>
    <x:xf numFmtId="0" fontId="25" fillId="0" borderId="8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0" fontId="39" fillId="4" borderId="4" xfId="0" applyNumberFormat="1" applyFont="1" applyFill="1" applyBorder="1" applyAlignment="1">
      <x:alignment horizontal="center" vertical="center" wrapText="1"/>
    </x:xf>
    <x:xf numFmtId="0" fontId="25" fillId="3" borderId="6" xfId="0" applyNumberFormat="1" applyFont="1" applyFill="1" applyBorder="1" applyAlignment="1">
      <x:alignment vertical="center" wrapText="1"/>
    </x:xf>
    <x:xf numFmtId="0" fontId="25" fillId="3" borderId="8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wrapText="1"/>
    </x:xf>
    <x:xf numFmtId="0" fontId="30" fillId="0" borderId="6" xfId="0" applyNumberFormat="1" applyFont="1" applyFill="1" applyBorder="1" applyAlignment="1">
      <x:alignment vertical="center" wrapText="1"/>
    </x:xf>
    <x:xf numFmtId="0" fontId="29" fillId="2" borderId="8" xfId="0" applyNumberFormat="1" applyFont="1" applyFill="1" applyBorder="1" applyAlignment="1">
      <x:alignment vertical="center" wrapText="1"/>
    </x:xf>
    <x:xf numFmtId="0" fontId="39" fillId="4" borderId="0" xfId="0" applyNumberFormat="1" applyFont="1" applyFill="1" applyBorder="1" applyAlignment="1">
      <x:alignment wrapText="1"/>
    </x:xf>
    <x:xf numFmtId="43" fontId="26" fillId="0" borderId="0" xfId="0" applyNumberFormat="1" applyFont="1" applyFill="1" applyBorder="1" applyAlignment="1">
      <x:alignment wrapText="1"/>
    </x:xf>
    <x:xf numFmtId="43" fontId="27" fillId="2" borderId="0" xfId="0" applyNumberFormat="1" applyFont="1" applyFill="1" applyBorder="1" applyAlignment="1">
      <x:alignment horizontal="center" vertical="center" wrapText="1"/>
    </x:xf>
    <x:xf numFmtId="4" fontId="26" fillId="0" borderId="0" xfId="0" applyNumberFormat="1" applyFont="1" applyFill="1" applyBorder="1" applyAlignment="1">
      <x:alignment horizontal="center" vertical="center" wrapText="1"/>
    </x:xf>
    <x:xf numFmtId="4" fontId="28" fillId="2" borderId="0" xfId="0" applyNumberFormat="1" applyFont="1" applyFill="1" applyBorder="1" applyAlignment="1">
      <x:alignment horizontal="center" vertical="center" wrapText="1"/>
    </x:xf>
    <x:xf numFmtId="43" fontId="22" fillId="0" borderId="0" xfId="0" applyNumberFormat="1" applyFont="1" applyFill="1" applyBorder="1" applyAlignment="1">
      <x:alignment wrapText="1"/>
    </x:xf>
    <x:xf numFmtId="43" fontId="39" fillId="4" borderId="0" xfId="0" applyNumberFormat="1" applyFont="1" applyFill="1" applyBorder="1" applyAlignment="1">
      <x:alignment wrapText="1"/>
    </x:xf>
    <x:xf numFmtId="202" fontId="27" fillId="4" borderId="4" xfId="0" applyNumberFormat="1" applyFont="1" applyFill="1" applyBorder="1" applyAlignment="1">
      <x:alignment horizontal="center" vertical="center"/>
    </x:xf>
    <x:xf numFmtId="202" fontId="27" fillId="4" borderId="5" xfId="0" applyNumberFormat="1" applyFont="1" applyFill="1" applyBorder="1" applyAlignment="1">
      <x:alignment horizontal="center" vertical="center"/>
    </x:xf>
    <x:xf numFmtId="43" fontId="27" fillId="4" borderId="5" xfId="0" applyNumberFormat="1" applyFont="1" applyFill="1" applyBorder="1" applyAlignment="1">
      <x:alignment horizontal="center" vertical="center"/>
    </x:xf>
    <x:xf numFmtId="202" fontId="44" fillId="4" borderId="4" xfId="0" applyNumberFormat="1" applyFont="1" applyFill="1" applyBorder="1" applyAlignment="1">
      <x:alignment horizontal="center" vertical="center"/>
    </x:xf>
    <x:xf numFmtId="202" fontId="44" fillId="4" borderId="5" xfId="0" applyNumberFormat="1" applyFont="1" applyFill="1" applyBorder="1" applyAlignment="1">
      <x:alignment horizontal="center" vertical="center"/>
    </x:xf>
    <x:xf numFmtId="43" fontId="44" fillId="4" borderId="5" xfId="0" applyNumberFormat="1" applyFont="1" applyFill="1" applyBorder="1" applyAlignment="1">
      <x:alignment horizontal="center" vertical="center"/>
    </x:xf>
    <x:xf numFmtId="203" fontId="26" fillId="0" borderId="7" xfId="0" applyNumberFormat="1" applyFont="1" applyFill="1" applyBorder="1" applyAlignment="1">
      <x:alignment horizontal="center" vertical="center"/>
    </x:xf>
    <x:xf numFmtId="203" fontId="28" fillId="2" borderId="7" xfId="0" applyNumberFormat="1" applyFont="1" applyFill="1" applyBorder="1" applyAlignment="1">
      <x:alignment horizontal="center" vertical="center"/>
    </x:xf>
    <x:xf numFmtId="203" fontId="28" fillId="2" borderId="9" xfId="0" applyNumberFormat="1" applyFont="1" applyFill="1" applyBorder="1" applyAlignment="1">
      <x:alignment horizontal="center" vertical="center"/>
    </x:xf>
    <x:xf numFmtId="203" fontId="26" fillId="0" borderId="0" xfId="0" applyNumberFormat="1" applyFont="1" applyFill="1" applyBorder="1"/>
    <x:xf numFmtId="0" fontId="32" fillId="4" borderId="0" xfId="0" applyNumberFormat="1" applyFont="1" applyFill="1" applyBorder="1" applyAlignment="1">
      <x:alignment vertical="center"/>
    </x:xf>
    <x:xf numFmtId="43" fontId="23" fillId="4" borderId="0" xfId="0" applyNumberFormat="1" applyFont="1" applyFill="1" applyBorder="1"/>
    <x:xf numFmtId="0" fontId="44" fillId="4" borderId="0" xfId="0" applyNumberFormat="1" applyFont="1" applyFill="1" applyBorder="1" applyAlignment="1">
      <x:alignment vertical="center"/>
    </x:xf>
    <x:xf numFmtId="43" fontId="45" fillId="4" borderId="0" xfId="0" applyNumberFormat="1" applyFont="1" applyFill="1" applyBorder="1"/>
    <x:xf numFmtId="0" fontId="34" fillId="4" borderId="0" xfId="0" applyNumberFormat="1" applyFont="1" applyFill="1" applyBorder="1" applyAlignment="1">
      <x:alignment vertical="center"/>
    </x:xf>
    <x:xf numFmtId="0" fontId="34" fillId="4" borderId="0" xfId="0" applyNumberFormat="1" applyFont="1" applyFill="1" applyBorder="1" applyAlignment="1">
      <x:alignment horizontal="left" vertical="center"/>
    </x:xf>
    <x:xf numFmtId="0" fontId="44" fillId="4" borderId="0" xfId="0" applyNumberFormat="1" applyFont="1" applyFill="1" applyBorder="1" applyAlignment="1">
      <x:alignment horizontal="left" vertical="center"/>
    </x:xf>
    <x:xf numFmtId="0" fontId="33" fillId="5" borderId="0" xfId="0" applyNumberFormat="1" applyFont="1" applyFill="1" applyBorder="1" applyAlignment="1">
      <x:alignment vertical="center"/>
    </x:xf>
    <x:xf numFmtId="43" fontId="23" fillId="5" borderId="0" xfId="0" applyNumberFormat="1" applyFont="1" applyFill="1" applyBorder="1"/>
    <x:xf numFmtId="0" fontId="34" fillId="5" borderId="0" xfId="0" applyNumberFormat="1" applyFont="1" applyFill="1" applyBorder="1" applyAlignment="1">
      <x:alignment horizontal="left" vertical="center"/>
    </x:xf>
    <x:xf numFmtId="0" fontId="33" fillId="5" borderId="0" xfId="0" applyNumberFormat="1" applyFont="1" applyFill="1" applyBorder="1" applyAlignment="1">
      <x:alignment vertical="center" wrapText="1"/>
    </x:xf>
    <x:xf numFmtId="43" fontId="23" fillId="5" borderId="0" xfId="0" applyNumberFormat="1" applyFont="1" applyFill="1" applyBorder="1" applyAlignment="1">
      <x:alignment wrapText="1"/>
    </x:xf>
    <x:xf numFmtId="0" fontId="34" fillId="5" borderId="0" xfId="0" applyNumberFormat="1" applyFont="1" applyFill="1" applyBorder="1" applyAlignment="1">
      <x:alignment horizontal="left" vertical="center" wrapText="1"/>
    </x:xf>
    <x:xf numFmtId="0" fontId="33" fillId="5" borderId="0" xfId="0" applyNumberFormat="1" applyFont="1" applyFill="1" applyBorder="1" applyAlignment="1">
      <x:alignment vertical="top" wrapText="1"/>
    </x:xf>
    <x:xf numFmtId="43" fontId="23" fillId="5" borderId="0" xfId="0" applyNumberFormat="1" applyFont="1" applyFill="1" applyBorder="1" applyAlignment="1">
      <x:alignment vertical="top" wrapText="1"/>
    </x:xf>
    <x:xf numFmtId="0" fontId="34" fillId="5" borderId="0" xfId="0" applyNumberFormat="1" applyFont="1" applyFill="1" applyBorder="1" applyAlignment="1">
      <x:alignment horizontal="left" vertical="top" wrapText="1"/>
    </x:xf>
    <x:xf numFmtId="0" fontId="34" fillId="5" borderId="1" xfId="0" applyNumberFormat="1" applyFont="1" applyFill="1" applyBorder="1" applyAlignment="1">
      <x:alignment horizontal="center" vertical="center"/>
    </x:xf>
    <x:xf numFmtId="0" fontId="33" fillId="5" borderId="1" xfId="0" applyNumberFormat="1" applyFont="1" applyFill="1" applyBorder="1" applyAlignment="1">
      <x:alignment vertical="center"/>
    </x:xf>
    <x:xf numFmtId="0" fontId="23" fillId="5" borderId="0" xfId="0" applyNumberFormat="1" applyFont="1" applyFill="1" applyBorder="1" applyAlignment="1">
      <x:alignment vertical="center" wrapText="1"/>
    </x:xf>
    <x:xf numFmtId="0" fontId="34" fillId="5" borderId="1" xfId="0" applyNumberFormat="1" applyFont="1" applyFill="1" applyBorder="1" applyAlignment="1">
      <x:alignment horizontal="center" vertical="center" wrapText="1"/>
    </x:xf>
    <x:xf numFmtId="0" fontId="33" fillId="5" borderId="1" xfId="0" applyNumberFormat="1" applyFont="1" applyFill="1" applyBorder="1" applyAlignment="1">
      <x:alignment vertical="center" wrapText="1"/>
    </x:xf>
    <x:xf numFmtId="0" fontId="34" fillId="5" borderId="1" xfId="0" applyNumberFormat="1" applyFont="1" applyFill="1" applyBorder="1" applyAlignment="1">
      <x:alignment horizontal="center" vertical="top" wrapText="1"/>
    </x:xf>
    <x:xf numFmtId="0" fontId="33" fillId="5" borderId="1" xfId="0" applyNumberFormat="1" applyFont="1" applyFill="1" applyBorder="1" applyAlignment="1">
      <x:alignment vertical="top" wrapText="1"/>
    </x:xf>
    <x:xf numFmtId="0" fontId="34" fillId="4" borderId="1" xfId="0" applyNumberFormat="1" applyFont="1" applyFill="1" applyBorder="1" applyAlignment="1">
      <x:alignment horizontal="center" vertical="center"/>
    </x:xf>
    <x:xf numFmtId="0" fontId="44" fillId="4" borderId="1" xfId="0" applyNumberFormat="1" applyFont="1" applyFill="1" applyBorder="1" applyAlignment="1">
      <x:alignment horizontal="center" vertical="center"/>
    </x:xf>
    <x:xf numFmtId="0" fontId="44" fillId="4" borderId="10" xfId="0" applyNumberFormat="1" applyFont="1" applyFill="1" applyBorder="1" applyAlignment="1">
      <x:alignment horizontal="center" vertical="center"/>
    </x:xf>
    <x:xf numFmtId="43" fontId="45" fillId="4" borderId="10" xfId="0" applyNumberFormat="1" applyFont="1" applyFill="1" applyBorder="1"/>
    <x:xf numFmtId="0" fontId="34" fillId="0" borderId="10" xfId="0" applyNumberFormat="1" applyFont="1" applyFill="1" applyBorder="1" applyAlignment="1">
      <x:alignment horizontal="center" vertical="center"/>
    </x:xf>
    <x:xf numFmtId="0" fontId="33" fillId="0" borderId="10" xfId="0" applyNumberFormat="1" applyFont="1" applyFill="1" applyBorder="1" applyAlignment="1">
      <x:alignment vertical="center"/>
    </x:xf>
    <x:xf numFmtId="43" fontId="23" fillId="0" borderId="10" xfId="0" applyNumberFormat="1" applyFont="1" applyFill="1" applyBorder="1"/>
    <x:xf numFmtId="0" fontId="23" fillId="0" borderId="10" xfId="0" applyNumberFormat="1" applyFont="1" applyFill="1" applyBorder="1" applyAlignment="1">
      <x:alignment vertical="center" wrapText="1"/>
    </x:xf>
    <x:xf numFmtId="0" fontId="23" fillId="4" borderId="0" xfId="0" applyNumberFormat="1" applyFont="1" applyFill="1" applyBorder="1"/>
    <x:xf numFmtId="0" fontId="45" fillId="4" borderId="0" xfId="0" applyNumberFormat="1" applyFont="1" applyFill="1" applyBorder="1"/>
    <x:xf numFmtId="0" fontId="23" fillId="6" borderId="0" xfId="0" applyNumberFormat="1" applyFont="1" applyFill="1" applyBorder="1"/>
    <x:xf numFmtId="0" fontId="46" fillId="6" borderId="0" xfId="0" applyNumberFormat="1" applyFont="1" applyFill="1" applyBorder="1"/>
  </x:cellXfs>
  <x:cellStyles count="5">
    <x:cellStyle name="百分比" xfId="2"/>
    <x:cellStyle name="常规" xfId="0"/>
    <x:cellStyle name="常规 2" xfId="3"/>
    <x:cellStyle name="千位分隔" xfId="1"/>
    <x:cellStyle name="千位分隔 2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bfc8e57ea464b" /><Relationship Type="http://schemas.openxmlformats.org/officeDocument/2006/relationships/theme" Target="/xl/theme/theme1.xml" Id="R50b7203a9ff8479d" /><Relationship Type="http://schemas.openxmlformats.org/officeDocument/2006/relationships/sharedStrings" Target="/xl/sharedStrings.xml" Id="R9d2c91ac1a424747" /><Relationship Type="http://schemas.openxmlformats.org/officeDocument/2006/relationships/worksheet" Target="/xl/worksheets/sheet1.xml" Id="Re19278b2159a43ff" /><Relationship Type="http://schemas.openxmlformats.org/officeDocument/2006/relationships/worksheet" Target="/xl/worksheets/sheet2.xml" Id="R80562ffce19243ce" /><Relationship Type="http://schemas.openxmlformats.org/officeDocument/2006/relationships/worksheet" Target="/xl/worksheets/sheet3.xml" Id="R4474334f95aa4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3" topLeftCell="A4" activePane="bottomLeft" state="frozen"/>
    </x:sheetView>
  </x:sheetViews>
  <x:sheetFormatPr defaultColWidth="13.35546875" defaultRowHeight="16.299999237060547"/>
  <x:cols>
    <x:col min="1" max="1" width="34" style="3" hidden="0" customWidth="1"/>
    <x:col min="2" max="2" width="17" style="3" hidden="0" customWidth="1"/>
    <x:col min="3" max="4" width="15.640625" style="2" customWidth="1"/>
    <x:col min="5" max="6" width="15.35546875" style="2" customWidth="1"/>
    <x:col min="7" max="7" width="34" style="2" hidden="0" customWidth="1"/>
    <x:col min="8" max="8" width="17" style="3" hidden="0" customWidth="1"/>
    <x:col min="9" max="9" width="17" style="3" hidden="0" customWidth="1"/>
    <x:col min="10" max="18" width="15.640625" style="3" customWidth="1"/>
    <x:col min="19" max="16384" width="13.35546875" style="3" customWidth="0"/>
    <x:col min="3" max="3" width="17" hidden="0" customWidth="1"/>
    <x:col min="4" max="4" width="17" hidden="0" customWidth="1"/>
    <x:col min="5" max="5" width="17" hidden="0" customWidth="1"/>
    <x:col min="6" max="6" width="3" hidden="0" customWidth="1"/>
    <x:col min="10" max="10" width="17" hidden="0" customWidth="1"/>
    <x:col min="11" max="11" width="17" hidden="0" customWidth="1"/>
  </x:cols>
  <x:sheetData>
    <x:row r="1" ht="32" customHeight="1">
      <x:c r="A1" s="62" t="str">
        <x:v>客户财报情况综述</x:v>
      </x:c>
      <x:c r="B1" s="62" t="str">
        <x:f>"原币："&amp;提示事项!B4</x:f>
        <x:v>原币：原币</x:v>
      </x:c>
      <x:c r="C1" s="63"/>
      <x:c r="D1" s="63" t="str">
        <x:v>原币金额先填入D/E列</x:v>
      </x:c>
      <x:c r="E1" s="63"/>
      <x:c r="F1" s="63"/>
      <x:c r="G1" s="63"/>
      <x:c r="H1" s="64"/>
      <x:c r="I1" s="64"/>
      <x:c r="J1" s="64"/>
      <x:c r="K1" s="64"/>
    </x:row>
    <x:row r="2" ht="22" customHeight="1">
      <x:c r="A2" s="119" t="str">
        <x:f>"金额单位：每1单位＝"&amp;提示事项!B5&amp;" "&amp;提示事项!B4&amp;"；比率单列显示"</x:f>
        <x:v>金额单位：每1单位＝100000000 原币；比率单列显示</x:v>
      </x:c>
      <x:c r="B2" s="119"/>
      <x:c r="C2" s="120"/>
      <x:c r="D2" s="120"/>
      <x:c r="E2" s="120"/>
      <x:c r="F2" s="63"/>
      <x:c r="G2" s="63"/>
      <x:c r="H2" s="64"/>
      <x:c r="I2" s="64"/>
      <x:c r="J2" s="64"/>
      <x:c r="K2" s="64"/>
    </x:row>
    <x:row r="3" ht="26" customHeight="1">
      <x:c r="A3" s="124" t="str">
        <x:v>1. 总体业绩与盈利质量</x:v>
      </x:c>
      <x:c r="B3" s="125"/>
      <x:c r="C3" s="126"/>
      <x:c r="D3" s="126"/>
      <x:c r="E3" s="126"/>
      <x:c r="F3" s="63"/>
      <x:c r="G3" s="63"/>
      <x:c r="H3" s="64"/>
      <x:c r="I3" s="64"/>
      <x:c r="J3" s="64"/>
      <x:c r="K3" s="64"/>
    </x:row>
    <x:row r="4" ht="22" customHeight="1">
      <x:c r="A4" s="133"/>
      <x:c r="B4" s="134"/>
      <x:c r="C4" s="135"/>
      <x:c r="D4" s="135"/>
      <x:c r="E4" s="135"/>
      <x:c r="F4" s="63"/>
      <x:c r="G4" s="63"/>
      <x:c r="H4" s="64"/>
      <x:c r="I4" s="64"/>
      <x:c r="J4" s="64"/>
      <x:c r="K4" s="64"/>
    </x:row>
    <x:row r="5" ht="22" customHeight="1">
      <x:c r="A5" s="133"/>
      <x:c r="B5" s="134"/>
      <x:c r="C5" s="135"/>
      <x:c r="D5" s="135"/>
      <x:c r="E5" s="135"/>
      <x:c r="F5" s="63"/>
      <x:c r="G5" s="63"/>
      <x:c r="H5" s="64"/>
      <x:c r="I5" s="64"/>
      <x:c r="J5" s="64"/>
      <x:c r="K5" s="64"/>
    </x:row>
    <x:row r="6" ht="22" customHeight="1">
      <x:c r="A6" s="133"/>
      <x:c r="B6" s="134"/>
      <x:c r="C6" s="135"/>
      <x:c r="D6" s="135"/>
      <x:c r="E6" s="135"/>
      <x:c r="F6" s="63"/>
      <x:c r="G6" s="63"/>
      <x:c r="H6" s="64"/>
      <x:c r="I6" s="64"/>
      <x:c r="J6" s="64"/>
      <x:c r="K6" s="64"/>
    </x:row>
    <x:row r="7" ht="26" customHeight="1">
      <x:c r="A7" s="143" t="str">
        <x:v>指标</x:v>
      </x:c>
      <x:c r="B7" s="143" t="str">
        <x:f>E44</x:f>
        <x:v>期间4</x:v>
      </x:c>
      <x:c r="C7" s="143" t="str">
        <x:f>D44</x:f>
        <x:v>期间3</x:v>
      </x:c>
      <x:c r="D7" s="143" t="str">
        <x:v>同比/百分点</x:v>
      </x:c>
      <x:c r="E7" s="126"/>
      <x:c r="F7" s="63"/>
      <x:c r="G7" s="63"/>
      <x:c r="H7" s="64"/>
      <x:c r="I7" s="64"/>
      <x:c r="J7" s="64"/>
      <x:c r="K7" s="64"/>
    </x:row>
    <x:row r="8" ht="22" customHeight="1">
      <x:c r="A8" s="67" t="str">
        <x:v>净营业收入</x:v>
      </x:c>
      <x:c r="B8" s="68" t="str">
        <x:f>IF(ISNUMBER(E79),E79,"")</x:f>
      </x:c>
      <x:c r="C8" s="68" t="str">
        <x:f>IF(ISNUMBER(D79),D79,"")</x:f>
      </x:c>
      <x:c r="D8" s="145" t="str">
        <x:f>IF(AND(提示事项!$B$9="是",COUNT(B8:C8)=2,C8&gt;0),B8/C8-1,"")</x:f>
      </x:c>
      <x:c r="E8" s="63"/>
      <x:c r="F8" s="63"/>
      <x:c r="G8" s="63"/>
      <x:c r="H8" s="64"/>
      <x:c r="I8" s="64"/>
      <x:c r="J8" s="64"/>
      <x:c r="K8" s="64"/>
    </x:row>
    <x:row r="9" ht="22" customHeight="1">
      <x:c r="A9" s="67" t="str">
        <x:v>净利润（披露）</x:v>
      </x:c>
      <x:c r="B9" s="68" t="str">
        <x:f>IF(ISNUMBER(E107),E107,"")</x:f>
      </x:c>
      <x:c r="C9" s="68" t="str">
        <x:f>IF(ISNUMBER(D107),D107,"")</x:f>
      </x:c>
      <x:c r="D9" s="145" t="str">
        <x:f>IF(AND(提示事项!$B$9="是",COUNT(B9:C9)=2,C9&gt;0),B9/C9-1,"")</x:f>
      </x:c>
      <x:c r="E9" s="63"/>
      <x:c r="F9" s="63"/>
      <x:c r="G9" s="63"/>
      <x:c r="H9" s="64"/>
      <x:c r="I9" s="64"/>
      <x:c r="J9" s="64"/>
      <x:c r="K9" s="64"/>
    </x:row>
    <x:row r="10" ht="22" customHeight="1">
      <x:c r="A10" s="67" t="str">
        <x:v>EBITDA（披露）</x:v>
      </x:c>
      <x:c r="B10" s="68" t="str">
        <x:f>IF(ISNUMBER(E109),E109,"")</x:f>
      </x:c>
      <x:c r="C10" s="68" t="str">
        <x:f>IF(ISNUMBER(D109),D109,"")</x:f>
      </x:c>
      <x:c r="D10" s="145" t="str">
        <x:f>IF(AND(提示事项!$B$9="是",COUNT(B10:C10)=2,C10&gt;0),B10/C10-1,"")</x:f>
      </x:c>
      <x:c r="E10" s="63"/>
      <x:c r="F10" s="63"/>
      <x:c r="G10" s="63"/>
      <x:c r="H10" s="64"/>
      <x:c r="I10" s="64"/>
      <x:c r="J10" s="64"/>
      <x:c r="K10" s="64"/>
    </x:row>
    <x:row r="11" ht="22" customHeight="1">
      <x:c r="A11" s="67" t="str">
        <x:v>EBITDA利润率</x:v>
      </x:c>
      <x:c r="B11" s="145" t="str">
        <x:f>IF(AND(COUNT(B8,B10)=2,B8&gt;0),B10/B8,"")</x:f>
      </x:c>
      <x:c r="C11" s="145" t="str">
        <x:f>IF(AND(COUNT(C8,C10)=2,C8&gt;0),C10/C8,"")</x:f>
      </x:c>
      <x:c r="D11" s="144" t="str">
        <x:f>IF(AND(提示事项!$B$9="是",COUNT(B11:C11)=2),(B11-C11)*100,"")</x:f>
      </x:c>
      <x:c r="E11" s="63"/>
      <x:c r="F11" s="63"/>
      <x:c r="G11" s="63"/>
      <x:c r="H11" s="64"/>
      <x:c r="I11" s="64"/>
      <x:c r="J11" s="64"/>
      <x:c r="K11" s="64"/>
    </x:row>
    <x:row r="12" ht="22" customHeight="1">
      <x:c r="A12" s="67" t="str">
        <x:v>净利率</x:v>
      </x:c>
      <x:c r="B12" s="145" t="str">
        <x:f>IF(AND(COUNT(B8,B9)=2,B8&gt;0),B9/B8,"")</x:f>
      </x:c>
      <x:c r="C12" s="145" t="str">
        <x:f>IF(AND(COUNT(C8,C9)=2,C8&gt;0),C9/C8,"")</x:f>
      </x:c>
      <x:c r="D12" s="144" t="str">
        <x:f>IF(AND(提示事项!$B$9="是",COUNT(B12:C12)=2),(B12-C12)*100,"")</x:f>
      </x:c>
      <x:c r="E12" s="63"/>
      <x:c r="F12" s="63"/>
      <x:c r="G12" s="63"/>
      <x:c r="H12" s="64"/>
      <x:c r="I12" s="64"/>
      <x:c r="J12" s="64"/>
      <x:c r="K12" s="64"/>
    </x:row>
    <x:row r="13" ht="22" customHeight="1">
      <x:c r="A13" s="70"/>
      <x:c r="B13" s="71"/>
      <x:c r="C13" s="71"/>
      <x:c r="D13" s="70"/>
      <x:c r="E13" s="63"/>
      <x:c r="F13" s="63"/>
      <x:c r="G13" s="63"/>
      <x:c r="H13" s="64"/>
      <x:c r="I13" s="64"/>
      <x:c r="J13" s="64"/>
      <x:c r="K13" s="64"/>
    </x:row>
    <x:row r="14" ht="26" customHeight="1">
      <x:c r="A14" s="124" t="str">
        <x:v>2. 报表概览与流动性</x:v>
      </x:c>
      <x:c r="B14" s="125"/>
      <x:c r="C14" s="126"/>
      <x:c r="D14" s="126"/>
      <x:c r="E14" s="126"/>
      <x:c r="F14" s="63"/>
      <x:c r="G14" s="63"/>
      <x:c r="H14" s="64"/>
      <x:c r="I14" s="64"/>
      <x:c r="J14" s="64"/>
      <x:c r="K14" s="64"/>
    </x:row>
    <x:row r="15" ht="22" customHeight="1">
      <x:c r="A15" s="133"/>
      <x:c r="B15" s="134"/>
      <x:c r="C15" s="135"/>
      <x:c r="D15" s="135"/>
      <x:c r="E15" s="135"/>
      <x:c r="F15" s="63"/>
      <x:c r="G15" s="63"/>
      <x:c r="H15" s="64"/>
      <x:c r="I15" s="64"/>
      <x:c r="J15" s="64"/>
      <x:c r="K15" s="64"/>
    </x:row>
    <x:row r="16" ht="22" customHeight="1">
      <x:c r="A16" s="133"/>
      <x:c r="B16" s="134"/>
      <x:c r="C16" s="135"/>
      <x:c r="D16" s="135"/>
      <x:c r="E16" s="135"/>
      <x:c r="F16" s="63"/>
      <x:c r="G16" s="63"/>
      <x:c r="H16" s="64"/>
      <x:c r="I16" s="64"/>
      <x:c r="J16" s="64"/>
      <x:c r="K16" s="64"/>
    </x:row>
    <x:row r="17" ht="22" customHeight="1">
      <x:c r="A17" s="133"/>
      <x:c r="B17" s="134"/>
      <x:c r="C17" s="135"/>
      <x:c r="D17" s="135"/>
      <x:c r="E17" s="135"/>
      <x:c r="F17" s="63"/>
      <x:c r="G17" s="63"/>
      <x:c r="H17" s="64"/>
      <x:c r="I17" s="64"/>
      <x:c r="J17" s="64"/>
      <x:c r="K17" s="64"/>
    </x:row>
    <x:row r="18" ht="26" customHeight="1">
      <x:c r="A18" s="143" t="str">
        <x:v>指标</x:v>
      </x:c>
      <x:c r="B18" s="143" t="str">
        <x:f>E44</x:f>
        <x:v>期间4</x:v>
      </x:c>
      <x:c r="C18" s="143" t="str">
        <x:f>D44</x:f>
        <x:v>期间3</x:v>
      </x:c>
      <x:c r="D18" s="143" t="str">
        <x:v>同比/百分点</x:v>
      </x:c>
      <x:c r="E18" s="126"/>
      <x:c r="F18" s="63"/>
      <x:c r="G18" s="63"/>
      <x:c r="H18" s="64"/>
      <x:c r="I18" s="64"/>
      <x:c r="J18" s="64"/>
      <x:c r="K18" s="64"/>
    </x:row>
    <x:row r="19" ht="22" customHeight="1">
      <x:c r="A19" s="67" t="str">
        <x:v>总资产</x:v>
      </x:c>
      <x:c r="B19" s="68" t="str">
        <x:f>IF(ISNUMBER(E47),E47,"")</x:f>
      </x:c>
      <x:c r="C19" s="68" t="str">
        <x:f>IF(ISNUMBER(D47),D47,"")</x:f>
      </x:c>
      <x:c r="D19" s="145" t="str">
        <x:f>IF(AND(提示事项!$B$9="是",COUNT(B19:C19)=2,C19&gt;0),B19/C19-1,"")</x:f>
      </x:c>
      <x:c r="E19" s="63"/>
      <x:c r="F19" s="63"/>
      <x:c r="G19" s="63"/>
      <x:c r="H19" s="64"/>
      <x:c r="I19" s="64"/>
      <x:c r="J19" s="64"/>
      <x:c r="K19" s="64"/>
    </x:row>
    <x:row r="20" ht="22" customHeight="1">
      <x:c r="A20" s="67" t="str">
        <x:v>总负债</x:v>
      </x:c>
      <x:c r="B20" s="68" t="str">
        <x:f>IF(ISNUMBER(E50),E50,"")</x:f>
      </x:c>
      <x:c r="C20" s="68" t="str">
        <x:f>IF(ISNUMBER(D50),D50,"")</x:f>
      </x:c>
      <x:c r="D20" s="145" t="str">
        <x:f>IF(AND(提示事项!$B$9="是",COUNT(B20:C20)=2,C20&gt;0),B20/C20-1,"")</x:f>
      </x:c>
      <x:c r="E20" s="63"/>
      <x:c r="F20" s="63"/>
      <x:c r="G20" s="63"/>
      <x:c r="H20" s="64"/>
      <x:c r="I20" s="64"/>
      <x:c r="J20" s="64"/>
      <x:c r="K20" s="64"/>
    </x:row>
    <x:row r="21" ht="22" customHeight="1">
      <x:c r="A21" s="67" t="str">
        <x:v>现金及现金等价物</x:v>
      </x:c>
      <x:c r="B21" s="68" t="str">
        <x:f>IF(ISNUMBER(E102),E102,"")</x:f>
      </x:c>
      <x:c r="C21" s="68" t="str">
        <x:f>IF(ISNUMBER(D102),D102,"")</x:f>
      </x:c>
      <x:c r="D21" s="145" t="str">
        <x:f>IF(AND(提示事项!$B$9="是",COUNT(B21:C21)=2,C21&gt;0),B21/C21-1,"")</x:f>
      </x:c>
      <x:c r="E21" s="63"/>
      <x:c r="F21" s="63"/>
      <x:c r="G21" s="63"/>
      <x:c r="H21" s="64"/>
      <x:c r="I21" s="64"/>
      <x:c r="J21" s="64"/>
      <x:c r="K21" s="64"/>
    </x:row>
    <x:row r="22" ht="22" customHeight="1">
      <x:c r="A22" s="67" t="str">
        <x:v>固定资产（披露）</x:v>
      </x:c>
      <x:c r="B22" s="68" t="str">
        <x:f>IF(ISNUMBER(E110),E110,"")</x:f>
      </x:c>
      <x:c r="C22" s="68" t="str">
        <x:f>IF(ISNUMBER(D110),D110,"")</x:f>
      </x:c>
      <x:c r="D22" s="145" t="str">
        <x:f>IF(AND(提示事项!$B$9="是",COUNT(B22:C22)=2,C22&gt;0),B22/C22-1,"")</x:f>
      </x:c>
      <x:c r="E22" s="63"/>
      <x:c r="F22" s="63"/>
      <x:c r="G22" s="63"/>
      <x:c r="H22" s="64"/>
      <x:c r="I22" s="64"/>
      <x:c r="J22" s="64"/>
      <x:c r="K22" s="64"/>
    </x:row>
    <x:row r="23" ht="22" customHeight="1">
      <x:c r="A23" s="67" t="str">
        <x:v>无形资产（披露）</x:v>
      </x:c>
      <x:c r="B23" s="68" t="str">
        <x:f>IF(ISNUMBER(E111),E111,"")</x:f>
      </x:c>
      <x:c r="C23" s="68" t="str">
        <x:f>IF(ISNUMBER(D111),D111,"")</x:f>
      </x:c>
      <x:c r="D23" s="145" t="str">
        <x:f>IF(AND(提示事项!$B$9="是",COUNT(B23:C23)=2,C23&gt;0),B23/C23-1,"")</x:f>
      </x:c>
      <x:c r="E23" s="63"/>
      <x:c r="F23" s="63"/>
      <x:c r="G23" s="63"/>
      <x:c r="H23" s="64"/>
      <x:c r="I23" s="64"/>
      <x:c r="J23" s="64"/>
      <x:c r="K23" s="64"/>
    </x:row>
    <x:row r="24" ht="22" customHeight="1">
      <x:c r="A24" s="64"/>
      <x:c r="B24" s="64"/>
      <x:c r="C24" s="63"/>
      <x:c r="D24" s="63"/>
      <x:c r="E24" s="63"/>
      <x:c r="F24" s="63"/>
      <x:c r="G24" s="63"/>
      <x:c r="H24" s="64"/>
      <x:c r="I24" s="64"/>
      <x:c r="J24" s="64"/>
      <x:c r="K24" s="64"/>
    </x:row>
    <x:row r="25" ht="26" customHeight="1">
      <x:c r="A25" s="124" t="str">
        <x:v>3. 投资与资本支出</x:v>
      </x:c>
      <x:c r="B25" s="125"/>
      <x:c r="C25" s="126"/>
      <x:c r="D25" s="126"/>
      <x:c r="E25" s="126"/>
      <x:c r="F25" s="63"/>
      <x:c r="G25" s="63"/>
      <x:c r="H25" s="64"/>
      <x:c r="I25" s="64"/>
      <x:c r="J25" s="64"/>
      <x:c r="K25" s="64"/>
    </x:row>
    <x:row r="26" ht="22" customHeight="1">
      <x:c r="A26" s="138"/>
      <x:c r="B26" s="134"/>
      <x:c r="C26" s="135"/>
      <x:c r="D26" s="135"/>
      <x:c r="E26" s="135"/>
      <x:c r="F26" s="63"/>
      <x:c r="G26" s="63"/>
      <x:c r="H26" s="64"/>
      <x:c r="I26" s="64"/>
      <x:c r="J26" s="64"/>
      <x:c r="K26" s="64"/>
    </x:row>
    <x:row r="27" ht="22" customHeight="1">
      <x:c r="A27" s="138"/>
      <x:c r="B27" s="134"/>
      <x:c r="C27" s="135"/>
      <x:c r="D27" s="135"/>
      <x:c r="E27" s="135"/>
      <x:c r="F27" s="63"/>
      <x:c r="G27" s="63"/>
      <x:c r="H27" s="64"/>
      <x:c r="I27" s="64"/>
      <x:c r="J27" s="64"/>
      <x:c r="K27" s="64"/>
    </x:row>
    <x:row r="28" ht="26" customHeight="1">
      <x:c r="A28" s="143" t="str">
        <x:v>指标</x:v>
      </x:c>
      <x:c r="B28" s="143" t="str">
        <x:f>E44</x:f>
        <x:v>期间4</x:v>
      </x:c>
      <x:c r="C28" s="143" t="str">
        <x:f>D44</x:f>
        <x:v>期间3</x:v>
      </x:c>
      <x:c r="D28" s="143" t="str">
        <x:v>同比/百分点</x:v>
      </x:c>
      <x:c r="E28" s="126"/>
      <x:c r="F28" s="63"/>
      <x:c r="G28" s="63"/>
      <x:c r="H28" s="64"/>
      <x:c r="I28" s="64"/>
      <x:c r="J28" s="64"/>
      <x:c r="K28" s="64"/>
    </x:row>
    <x:row r="29" ht="22" customHeight="1">
      <x:c r="A29" s="67" t="str">
        <x:v>现金支付CAPEX</x:v>
      </x:c>
      <x:c r="B29" s="68" t="str">
        <x:f>IF(ISNUMBER(E105),E105,"")</x:f>
      </x:c>
      <x:c r="C29" s="68" t="str">
        <x:f>IF(ISNUMBER(D105),D105,"")</x:f>
      </x:c>
      <x:c r="D29" s="145" t="str">
        <x:f>IF(AND(提示事项!$B$9="是",COUNT(B29:C29)=2,C29&gt;0),B29/C29-1,"")</x:f>
      </x:c>
      <x:c r="E29" s="63"/>
      <x:c r="F29" s="63"/>
      <x:c r="G29" s="63"/>
      <x:c r="H29" s="64"/>
      <x:c r="I29" s="64"/>
      <x:c r="J29" s="64"/>
      <x:c r="K29" s="64"/>
    </x:row>
    <x:row r="30" ht="22" customHeight="1">
      <x:c r="A30" s="67" t="str">
        <x:v>CAPEX占净营业收入比例</x:v>
      </x:c>
      <x:c r="B30" s="145" t="str">
        <x:f>IF(AND(COUNT(B8,B29)=2,B8&gt;0),B29/B8,"")</x:f>
      </x:c>
      <x:c r="C30" s="145" t="str">
        <x:f>IF(AND(COUNT(C8,C29)=2,C8&gt;0),C29/C8,"")</x:f>
      </x:c>
      <x:c r="D30" s="144" t="str">
        <x:f>IF(AND(提示事项!$B$9="是",COUNT(B30:C30)=2),(B30-C30)*100,"")</x:f>
      </x:c>
      <x:c r="E30" s="63"/>
      <x:c r="F30" s="63"/>
      <x:c r="G30" s="63"/>
      <x:c r="H30" s="64"/>
      <x:c r="I30" s="64"/>
      <x:c r="J30" s="64"/>
      <x:c r="K30" s="64"/>
    </x:row>
    <x:row r="31" ht="22" customHeight="1">
      <x:c r="A31" s="67" t="str">
        <x:v>补充披露指标</x:v>
      </x:c>
      <x:c r="B31" s="67"/>
      <x:c r="C31" s="67"/>
      <x:c r="D31" s="67"/>
      <x:c r="E31" s="63"/>
      <x:c r="F31" s="63"/>
      <x:c r="G31" s="63"/>
      <x:c r="H31" s="64"/>
      <x:c r="I31" s="64"/>
      <x:c r="J31" s="64"/>
      <x:c r="K31" s="64"/>
    </x:row>
    <x:row r="32" ht="22" customHeight="1">
      <x:c r="A32" s="67" t="str">
        <x:v>行业/业务指标</x:v>
      </x:c>
      <x:c r="B32" s="67"/>
      <x:c r="C32" s="67"/>
      <x:c r="D32" s="69"/>
      <x:c r="E32" s="63"/>
      <x:c r="F32" s="63"/>
      <x:c r="G32" s="63"/>
      <x:c r="H32" s="64"/>
      <x:c r="I32" s="64"/>
      <x:c r="J32" s="64"/>
      <x:c r="K32" s="64"/>
    </x:row>
    <x:row r="33" ht="22" customHeight="1">
      <x:c r="A33" s="64"/>
      <x:c r="B33" s="64"/>
      <x:c r="C33" s="63"/>
      <x:c r="D33" s="63"/>
      <x:c r="E33" s="63"/>
      <x:c r="F33" s="63"/>
      <x:c r="G33" s="63"/>
      <x:c r="H33" s="64"/>
      <x:c r="I33" s="64"/>
      <x:c r="J33" s="64"/>
      <x:c r="K33" s="64"/>
    </x:row>
    <x:row r="34" ht="26" customHeight="1">
      <x:c r="A34" s="124" t="str">
        <x:v>4. 融资与偿债压力</x:v>
      </x:c>
      <x:c r="B34" s="125"/>
      <x:c r="C34" s="126"/>
      <x:c r="D34" s="126"/>
      <x:c r="E34" s="126"/>
      <x:c r="F34" s="63"/>
      <x:c r="G34" s="63"/>
      <x:c r="H34" s="64"/>
      <x:c r="I34" s="64"/>
      <x:c r="J34" s="64"/>
      <x:c r="K34" s="64"/>
    </x:row>
    <x:row r="35" ht="22" customHeight="1">
      <x:c r="A35" s="134"/>
      <x:c r="B35" s="134"/>
      <x:c r="C35" s="135"/>
      <x:c r="D35" s="135"/>
      <x:c r="E35" s="135"/>
      <x:c r="F35" s="63"/>
      <x:c r="G35" s="63"/>
      <x:c r="H35" s="64"/>
      <x:c r="I35" s="64"/>
      <x:c r="J35" s="64"/>
      <x:c r="K35" s="64"/>
    </x:row>
    <x:row r="36" ht="22" customHeight="1">
      <x:c r="A36" s="134"/>
      <x:c r="B36" s="134"/>
      <x:c r="C36" s="135"/>
      <x:c r="D36" s="135"/>
      <x:c r="E36" s="135"/>
      <x:c r="F36" s="63"/>
      <x:c r="G36" s="63"/>
      <x:c r="H36" s="64"/>
      <x:c r="I36" s="64"/>
      <x:c r="J36" s="64"/>
      <x:c r="K36" s="64"/>
    </x:row>
    <x:row r="37" ht="22" customHeight="1">
      <x:c r="A37" s="134"/>
      <x:c r="B37" s="134"/>
      <x:c r="C37" s="135"/>
      <x:c r="D37" s="135"/>
      <x:c r="E37" s="135"/>
      <x:c r="F37" s="63"/>
      <x:c r="G37" s="63"/>
      <x:c r="H37" s="64"/>
      <x:c r="I37" s="64"/>
      <x:c r="J37" s="64"/>
      <x:c r="K37" s="64"/>
    </x:row>
    <x:row r="38" ht="22" customHeight="1">
      <x:c r="A38" s="64"/>
      <x:c r="B38" s="64"/>
      <x:c r="C38" s="63"/>
      <x:c r="D38" s="63"/>
      <x:c r="E38" s="63"/>
      <x:c r="F38" s="63"/>
      <x:c r="G38" s="63"/>
      <x:c r="H38" s="64"/>
      <x:c r="I38" s="64"/>
      <x:c r="J38" s="64"/>
      <x:c r="K38" s="64"/>
    </x:row>
    <x:row r="39" ht="26" customHeight="1">
      <x:c r="A39" s="124" t="str">
        <x:v>总结</x:v>
      </x:c>
      <x:c r="B39" s="125"/>
      <x:c r="C39" s="126"/>
      <x:c r="D39" s="126"/>
      <x:c r="E39" s="126"/>
      <x:c r="F39" s="63"/>
      <x:c r="G39" s="63"/>
      <x:c r="H39" s="64"/>
      <x:c r="I39" s="64"/>
      <x:c r="J39" s="64"/>
      <x:c r="K39" s="64"/>
    </x:row>
    <x:row r="40" ht="22" customHeight="1">
      <x:c r="A40" s="141"/>
      <x:c r="B40" s="134"/>
      <x:c r="C40" s="135"/>
      <x:c r="D40" s="135"/>
      <x:c r="E40" s="135"/>
      <x:c r="F40" s="63"/>
      <x:c r="G40" s="63"/>
      <x:c r="H40" s="64"/>
      <x:c r="I40" s="64"/>
      <x:c r="J40" s="64"/>
      <x:c r="K40" s="64"/>
    </x:row>
    <x:row r="41" ht="22" customHeight="1">
      <x:c r="A41" s="134"/>
      <x:c r="B41" s="134"/>
      <x:c r="C41" s="135"/>
      <x:c r="D41" s="135"/>
      <x:c r="E41" s="135"/>
      <x:c r="F41" s="63"/>
      <x:c r="G41" s="63"/>
      <x:c r="H41" s="64"/>
      <x:c r="I41" s="64"/>
      <x:c r="J41" s="64"/>
      <x:c r="K41" s="64"/>
    </x:row>
    <x:row r="42" ht="22" customHeight="1">
      <x:c r="A42" s="64"/>
      <x:c r="B42" s="64"/>
      <x:c r="C42" s="63"/>
      <x:c r="D42" s="63"/>
      <x:c r="E42" s="63"/>
      <x:c r="F42" s="63"/>
      <x:c r="G42" s="63"/>
      <x:c r="H42" s="64"/>
      <x:c r="I42" s="64"/>
      <x:c r="J42" s="64"/>
      <x:c r="K42" s="64"/>
    </x:row>
    <x:row r="43" ht="22" customHeight="1">
      <x:c r="A43" s="74" t="str">
        <x:v>蓝字填已核数据；空白不代表零</x:v>
      </x:c>
      <x:c r="B43" s="64"/>
      <x:c r="C43" s="63"/>
      <x:c r="D43" s="63"/>
      <x:c r="E43" s="63"/>
      <x:c r="F43" s="63"/>
      <x:c r="G43" s="63" t="str">
        <x:v>换汇：需填汇率、日期和来源</x:v>
      </x:c>
      <x:c r="H43" s="64"/>
      <x:c r="I43" s="64"/>
      <x:c r="J43" s="64"/>
      <x:c r="K43" s="64"/>
    </x:row>
    <x:row r="44" ht="26" customHeight="1">
      <x:c r="A44" s="148" t="str">
        <x:v>原币（见顶部金额单位）</x:v>
      </x:c>
      <x:c r="B44" s="149" t="str">
        <x:v>期间1</x:v>
      </x:c>
      <x:c r="C44" s="149" t="str">
        <x:v>期间2</x:v>
      </x:c>
      <x:c r="D44" s="149" t="str">
        <x:v>期间3</x:v>
      </x:c>
      <x:c r="E44" s="149" t="str">
        <x:v>期间4</x:v>
      </x:c>
      <x:c r="F44" s="63"/>
      <x:c r="G44" s="148" t="str">
        <x:v>美元（相同金额倍率）</x:v>
      </x:c>
      <x:c r="H44" s="149" t="str">
        <x:f>B44</x:f>
        <x:v>期间1</x:v>
      </x:c>
      <x:c r="I44" s="149" t="str">
        <x:f>C44</x:f>
        <x:v>期间2</x:v>
      </x:c>
      <x:c r="J44" s="149" t="str">
        <x:f>D44</x:f>
        <x:v>期间3</x:v>
      </x:c>
      <x:c r="K44" s="149" t="str">
        <x:f>E44</x:f>
        <x:v>期间4</x:v>
      </x:c>
    </x:row>
    <x:row r="45" ht="22" customHeight="1">
      <x:c r="A45" s="201" t="str">
        <x:v>流动资产</x:v>
      </x:c>
      <x:c r="B45" s="170"/>
      <x:c r="C45" s="170"/>
      <x:c r="D45" s="170"/>
      <x:c r="E45" s="170"/>
      <x:c r="F45" s="63"/>
      <x:c r="G45" s="201" t="str">
        <x:v>流动资产</x:v>
      </x:c>
      <x:c r="H45" s="193" t="str">
        <x:f>IF(AND(ISNUMBER(B45),ISNUMBER(提示事项!$B$6),提示事项!$B$6&gt;0,提示事项!$B$7&lt;&gt;""),B45/提示事项!$B$6,"")</x:f>
      </x:c>
      <x:c r="I45" s="193" t="str">
        <x:f>IF(AND(ISNUMBER(C45),ISNUMBER(提示事项!$B$6),提示事项!$B$6&gt;0,提示事项!$B$7&lt;&gt;""),C45/提示事项!$B$6,"")</x:f>
      </x:c>
      <x:c r="J45" s="193" t="str">
        <x:f>IF(AND(ISNUMBER(D45),ISNUMBER(提示事项!$B$6),提示事项!$B$6&gt;0,提示事项!$B$7&lt;&gt;""),D45/提示事项!$B$6,"")</x:f>
      </x:c>
      <x:c r="K45" s="193" t="str">
        <x:f>IF(AND(ISNUMBER(E45),ISNUMBER(提示事项!$B$6),提示事项!$B$6&gt;0,提示事项!$B$7&lt;&gt;""),E45/提示事项!$B$6,"")</x:f>
      </x:c>
    </x:row>
    <x:row r="46" ht="22" customHeight="1">
      <x:c r="A46" s="201" t="str">
        <x:v>非流动资产</x:v>
      </x:c>
      <x:c r="B46" s="170"/>
      <x:c r="C46" s="170"/>
      <x:c r="D46" s="170"/>
      <x:c r="E46" s="170"/>
      <x:c r="F46" s="63"/>
      <x:c r="G46" s="201" t="str">
        <x:v>非流动资产</x:v>
      </x:c>
      <x:c r="H46" s="193" t="str">
        <x:f>IF(AND(ISNUMBER(B46),ISNUMBER(提示事项!$B$6),提示事项!$B$6&gt;0,提示事项!$B$7&lt;&gt;""),B46/提示事项!$B$6,"")</x:f>
      </x:c>
      <x:c r="I46" s="193" t="str">
        <x:f>IF(AND(ISNUMBER(C46),ISNUMBER(提示事项!$B$6),提示事项!$B$6&gt;0,提示事项!$B$7&lt;&gt;""),C46/提示事项!$B$6,"")</x:f>
      </x:c>
      <x:c r="J46" s="193" t="str">
        <x:f>IF(AND(ISNUMBER(D46),ISNUMBER(提示事项!$B$6),提示事项!$B$6&gt;0,提示事项!$B$7&lt;&gt;""),D46/提示事项!$B$6,"")</x:f>
      </x:c>
      <x:c r="K46" s="193" t="str">
        <x:f>IF(AND(ISNUMBER(E46),ISNUMBER(提示事项!$B$6),提示事项!$B$6&gt;0,提示事项!$B$7&lt;&gt;""),E46/提示事项!$B$6,"")</x:f>
      </x:c>
    </x:row>
    <x:row r="47" ht="22" customHeight="1">
      <x:c r="A47" s="202" t="str">
        <x:v>资产合计</x:v>
      </x:c>
      <x:c r="B47" s="171" t="str">
        <x:f t="shared" ref="B47:C47" si="0">IF(COUNT(B45:B46)=2,SUM(B45:B46),"")</x:f>
      </x:c>
      <x:c r="C47" s="171" t="str">
        <x:f t="shared" si="0">IF(COUNT(C45:C46)=2,SUM(C45:C46),"")</x:f>
      </x:c>
      <x:c r="D47" s="171" t="str">
        <x:f t="shared" ref="D47:E47" si="1">IF(COUNT(D45:D46)=2,SUM(D45:D46),"")</x:f>
      </x:c>
      <x:c r="E47" s="171" t="str">
        <x:f t="shared" si="1">IF(COUNT(E45:E46)=2,SUM(E45:E46),"")</x:f>
      </x:c>
      <x:c r="F47" s="63"/>
      <x:c r="G47" s="202" t="str">
        <x:v>资产合计</x:v>
      </x:c>
      <x:c r="H47" s="194" t="str">
        <x:f t="shared" ref="H47:I47" si="2">IF(AND(ISNUMBER(B47),ISNUMBER(提示事项!$B$6),提示事项!$B$6&gt;0,提示事项!$B$7&lt;&gt;""),B47/提示事项!$B$6,"")</x:f>
      </x:c>
      <x:c r="I47" s="194" t="str">
        <x:f t="shared" si="2">IF(AND(ISNUMBER(C47),ISNUMBER(提示事项!$B$6),提示事项!$B$6&gt;0,提示事项!$B$7&lt;&gt;""),C47/提示事项!$B$6,"")</x:f>
      </x:c>
      <x:c r="J47" s="194" t="str">
        <x:f t="shared" ref="J47:K47" si="3">IF(AND(ISNUMBER(D47),ISNUMBER(提示事项!$B$6),提示事项!$B$6&gt;0,提示事项!$B$7&lt;&gt;""),D47/提示事项!$B$6,"")</x:f>
      </x:c>
      <x:c r="K47" s="194" t="str">
        <x:f t="shared" si="3">IF(AND(ISNUMBER(E47),ISNUMBER(提示事项!$B$6),提示事项!$B$6&gt;0,提示事项!$B$7&lt;&gt;""),E47/提示事项!$B$6,"")</x:f>
      </x:c>
    </x:row>
    <x:row r="48" ht="22" customHeight="1">
      <x:c r="A48" s="201" t="str">
        <x:v>流动负债</x:v>
      </x:c>
      <x:c r="B48" s="170"/>
      <x:c r="C48" s="170"/>
      <x:c r="D48" s="170"/>
      <x:c r="E48" s="170"/>
      <x:c r="F48" s="63"/>
      <x:c r="G48" s="201" t="str">
        <x:v>流动负债</x:v>
      </x:c>
      <x:c r="H48" s="193" t="str">
        <x:f>IF(AND(ISNUMBER(B48),ISNUMBER(提示事项!$B$6),提示事项!$B$6&gt;0,提示事项!$B$7&lt;&gt;""),B48/提示事项!$B$6,"")</x:f>
      </x:c>
      <x:c r="I48" s="193" t="str">
        <x:f>IF(AND(ISNUMBER(C48),ISNUMBER(提示事项!$B$6),提示事项!$B$6&gt;0,提示事项!$B$7&lt;&gt;""),C48/提示事项!$B$6,"")</x:f>
      </x:c>
      <x:c r="J48" s="193" t="str">
        <x:f>IF(AND(ISNUMBER(D48),ISNUMBER(提示事项!$B$6),提示事项!$B$6&gt;0,提示事项!$B$7&lt;&gt;""),D48/提示事项!$B$6,"")</x:f>
      </x:c>
      <x:c r="K48" s="193" t="str">
        <x:f>IF(AND(ISNUMBER(E48),ISNUMBER(提示事项!$B$6),提示事项!$B$6&gt;0,提示事项!$B$7&lt;&gt;""),E48/提示事项!$B$6,"")</x:f>
      </x:c>
    </x:row>
    <x:row r="49" ht="22" customHeight="1">
      <x:c r="A49" s="201" t="str">
        <x:v>非流动负债</x:v>
      </x:c>
      <x:c r="B49" s="170"/>
      <x:c r="C49" s="170"/>
      <x:c r="D49" s="170"/>
      <x:c r="E49" s="170"/>
      <x:c r="F49" s="63"/>
      <x:c r="G49" s="201" t="str">
        <x:v>非流动负债</x:v>
      </x:c>
      <x:c r="H49" s="193" t="str">
        <x:f>IF(AND(ISNUMBER(B49),ISNUMBER(提示事项!$B$6),提示事项!$B$6&gt;0,提示事项!$B$7&lt;&gt;""),B49/提示事项!$B$6,"")</x:f>
      </x:c>
      <x:c r="I49" s="193" t="str">
        <x:f>IF(AND(ISNUMBER(C49),ISNUMBER(提示事项!$B$6),提示事项!$B$6&gt;0,提示事项!$B$7&lt;&gt;""),C49/提示事项!$B$6,"")</x:f>
      </x:c>
      <x:c r="J49" s="193" t="str">
        <x:f>IF(AND(ISNUMBER(D49),ISNUMBER(提示事项!$B$6),提示事项!$B$6&gt;0,提示事项!$B$7&lt;&gt;""),D49/提示事项!$B$6,"")</x:f>
      </x:c>
      <x:c r="K49" s="193" t="str">
        <x:f>IF(AND(ISNUMBER(E49),ISNUMBER(提示事项!$B$6),提示事项!$B$6&gt;0,提示事项!$B$7&lt;&gt;""),E49/提示事项!$B$6,"")</x:f>
      </x:c>
    </x:row>
    <x:row r="50" ht="22" customHeight="1">
      <x:c r="A50" s="202" t="str">
        <x:v>负债合计</x:v>
      </x:c>
      <x:c r="B50" s="171" t="str">
        <x:f t="shared" ref="B50:C50" si="4">IF(COUNT(B48:B49)=2,SUM(B48:B49),"")</x:f>
      </x:c>
      <x:c r="C50" s="171" t="str">
        <x:f t="shared" si="4">IF(COUNT(C48:C49)=2,SUM(C48:C49),"")</x:f>
      </x:c>
      <x:c r="D50" s="171" t="str">
        <x:f t="shared" ref="D50:E50" si="5">IF(COUNT(D48:D49)=2,SUM(D48:D49),"")</x:f>
      </x:c>
      <x:c r="E50" s="171" t="str">
        <x:f t="shared" si="5">IF(COUNT(E48:E49)=2,SUM(E48:E49),"")</x:f>
      </x:c>
      <x:c r="F50" s="63"/>
      <x:c r="G50" s="202" t="str">
        <x:v>负债合计</x:v>
      </x:c>
      <x:c r="H50" s="194" t="str">
        <x:f t="shared" ref="H50:K50" si="6">IF(AND(ISNUMBER(B50),ISNUMBER(提示事项!$B$6),提示事项!$B$6&gt;0,提示事项!$B$7&lt;&gt;""),B50/提示事项!$B$6,"")</x:f>
      </x:c>
      <x:c r="I50" s="194" t="str">
        <x:f t="shared" si="6">IF(AND(ISNUMBER(C50),ISNUMBER(提示事项!$B$6),提示事项!$B$6&gt;0,提示事项!$B$7&lt;&gt;""),C50/提示事项!$B$6,"")</x:f>
      </x:c>
      <x:c r="J50" s="194" t="str">
        <x:f t="shared" si="6">IF(AND(ISNUMBER(D50),ISNUMBER(提示事项!$B$6),提示事项!$B$6&gt;0,提示事项!$B$7&lt;&gt;""),D50/提示事项!$B$6,"")</x:f>
      </x:c>
      <x:c r="K50" s="194" t="str">
        <x:f t="shared" si="6">IF(AND(ISNUMBER(E50),ISNUMBER(提示事项!$B$6),提示事项!$B$6&gt;0,提示事项!$B$7&lt;&gt;""),E50/提示事项!$B$6,"")</x:f>
      </x:c>
    </x:row>
    <x:row r="51" ht="22" customHeight="1">
      <x:c r="A51" s="202" t="str">
        <x:v>所有者权益</x:v>
      </x:c>
      <x:c r="B51" s="172"/>
      <x:c r="C51" s="172"/>
      <x:c r="D51" s="172"/>
      <x:c r="E51" s="172"/>
      <x:c r="F51" s="63"/>
      <x:c r="G51" s="202" t="str">
        <x:v>所有者权益</x:v>
      </x:c>
      <x:c r="H51" s="194" t="str">
        <x:f>IF(AND(ISNUMBER(B51),ISNUMBER(提示事项!$B$6),提示事项!$B$6&gt;0,提示事项!$B$7&lt;&gt;""),B51/提示事项!$B$6,"")</x:f>
      </x:c>
      <x:c r="I51" s="194" t="str">
        <x:f>IF(AND(ISNUMBER(C51),ISNUMBER(提示事项!$B$6),提示事项!$B$6&gt;0,提示事项!$B$7&lt;&gt;""),C51/提示事项!$B$6,"")</x:f>
      </x:c>
      <x:c r="J51" s="194" t="str">
        <x:f>IF(AND(ISNUMBER(D51),ISNUMBER(提示事项!$B$6),提示事项!$B$6&gt;0,提示事项!$B$7&lt;&gt;""),D51/提示事项!$B$6,"")</x:f>
      </x:c>
      <x:c r="K51" s="194" t="str">
        <x:f>IF(AND(ISNUMBER(E51),ISNUMBER(提示事项!$B$6),提示事项!$B$6&gt;0,提示事项!$B$7&lt;&gt;""),E51/提示事项!$B$6,"")</x:f>
      </x:c>
    </x:row>
    <x:row r="52" ht="22" customHeight="1">
      <x:c r="A52" s="201" t="str">
        <x:v>实收资本</x:v>
      </x:c>
      <x:c r="B52" s="170"/>
      <x:c r="C52" s="170"/>
      <x:c r="D52" s="170"/>
      <x:c r="E52" s="170"/>
      <x:c r="F52" s="63"/>
      <x:c r="G52" s="201" t="str">
        <x:v>实收资本</x:v>
      </x:c>
      <x:c r="H52" s="193" t="str">
        <x:f>IF(AND(ISNUMBER(B52),ISNUMBER(提示事项!$B$6),提示事项!$B$6&gt;0,提示事项!$B$7&lt;&gt;""),B52/提示事项!$B$6,"")</x:f>
      </x:c>
      <x:c r="I52" s="193" t="str">
        <x:f>IF(AND(ISNUMBER(C52),ISNUMBER(提示事项!$B$6),提示事项!$B$6&gt;0,提示事项!$B$7&lt;&gt;""),C52/提示事项!$B$6,"")</x:f>
      </x:c>
      <x:c r="J52" s="193" t="str">
        <x:f>IF(AND(ISNUMBER(D52),ISNUMBER(提示事项!$B$6),提示事项!$B$6&gt;0,提示事项!$B$7&lt;&gt;""),D52/提示事项!$B$6,"")</x:f>
      </x:c>
      <x:c r="K52" s="193" t="str">
        <x:f>IF(AND(ISNUMBER(E52),ISNUMBER(提示事项!$B$6),提示事项!$B$6&gt;0,提示事项!$B$7&lt;&gt;""),E52/提示事项!$B$6,"")</x:f>
      </x:c>
    </x:row>
    <x:row r="53" ht="22" customHeight="1">
      <x:c r="A53" s="203" t="str">
        <x:v>负债及权益合计</x:v>
      </x:c>
      <x:c r="B53" s="173" t="str">
        <x:f t="shared" ref="B53:C53" si="7">IF(COUNT(B50:B51)=2,SUM(B50:B51),"")</x:f>
      </x:c>
      <x:c r="C53" s="173" t="str">
        <x:f t="shared" si="7">IF(COUNT(C50:C51)=2,SUM(C50:C51),"")</x:f>
      </x:c>
      <x:c r="D53" s="173" t="str">
        <x:f>IF(COUNT(D50:D51)=2,SUM(D50:D51),"")</x:f>
      </x:c>
      <x:c r="E53" s="173" t="str">
        <x:f>IF(COUNT(E50:E51)=2,SUM(E50:E51),"")</x:f>
      </x:c>
      <x:c r="F53" s="63"/>
      <x:c r="G53" s="203" t="str">
        <x:v>负债及权益合计</x:v>
      </x:c>
      <x:c r="H53" s="195" t="str">
        <x:f t="shared" ref="H53:I53" si="8">IF(AND(ISNUMBER(B53),ISNUMBER(提示事项!$B$6),提示事项!$B$6&gt;0,提示事项!$B$7&lt;&gt;""),B53/提示事项!$B$6,"")</x:f>
      </x:c>
      <x:c r="I53" s="195" t="str">
        <x:f t="shared" si="8">IF(AND(ISNUMBER(C53),ISNUMBER(提示事项!$B$6),提示事项!$B$6&gt;0,提示事项!$B$7&lt;&gt;""),C53/提示事项!$B$6,"")</x:f>
      </x:c>
      <x:c r="J53" s="195" t="str">
        <x:f>IF(AND(ISNUMBER(D53),ISNUMBER(提示事项!$B$6),提示事项!$B$6&gt;0,提示事项!$B$7&lt;&gt;""),D53/提示事项!$B$6,"")</x:f>
      </x:c>
      <x:c r="K53" s="195" t="str">
        <x:f>IF(AND(ISNUMBER(E53),ISNUMBER(提示事项!$B$6),提示事项!$B$6&gt;0,提示事项!$B$7&lt;&gt;""),E53/提示事项!$B$6,"")</x:f>
      </x:c>
    </x:row>
    <x:row r="54" ht="22" customHeight="1">
      <x:c r="A54" s="204"/>
      <x:c r="B54" s="174"/>
      <x:c r="C54" s="174"/>
      <x:c r="D54" s="174"/>
      <x:c r="E54" s="174"/>
      <x:c r="F54" s="84"/>
      <x:c r="G54" s="212"/>
      <x:c r="H54" s="190"/>
      <x:c r="I54" s="190"/>
      <x:c r="J54" s="190"/>
      <x:c r="K54" s="190"/>
    </x:row>
    <x:row r="55" ht="22" hidden="1" customHeight="1">
      <x:c r="A55" s="204"/>
      <x:c r="B55" s="174"/>
      <x:c r="C55" s="174"/>
      <x:c r="D55" s="174"/>
      <x:c r="E55" s="174"/>
      <x:c r="F55" s="84"/>
      <x:c r="G55" s="212"/>
      <x:c r="H55" s="190"/>
      <x:c r="I55" s="190"/>
      <x:c r="J55" s="190"/>
      <x:c r="K55" s="190"/>
    </x:row>
    <x:row r="56" ht="26" hidden="1" customHeight="1">
      <x:c r="A56" s="204"/>
      <x:c r="B56" s="221" t="str">
        <x:v>单位：百万原币</x:v>
      </x:c>
      <x:c r="C56" s="222" t="str">
        <x:f>B44</x:f>
        <x:v>期间1</x:v>
      </x:c>
      <x:c r="D56" s="222" t="str">
        <x:f>C44</x:f>
        <x:v>期间2</x:v>
      </x:c>
      <x:c r="E56" s="222" t="str">
        <x:f>D44</x:f>
        <x:v>期间3</x:v>
      </x:c>
      <x:c r="F56" s="223" t="str">
        <x:f>E44</x:f>
        <x:v>期间4</x:v>
      </x:c>
      <x:c r="G56" s="213"/>
      <x:c r="H56" s="190"/>
      <x:c r="I56" s="190"/>
      <x:c r="J56" s="190"/>
      <x:c r="K56" s="190"/>
    </x:row>
    <x:row r="57" ht="22" hidden="1" customHeight="1">
      <x:c r="A57" s="204"/>
      <x:c r="B57" s="177" t="str">
        <x:v>流动资产</x:v>
      </x:c>
      <x:c r="C57" s="224" t="str">
        <x:f>IF(AND(ISNUMBER(B45),ISNUMBER(提示事项!$B$5),提示事项!$B$5&gt;0),B45*提示事项!$B$5/1000000,"")</x:f>
      </x:c>
      <x:c r="D57" s="224" t="str">
        <x:f>IF(AND(ISNUMBER(C45),ISNUMBER(提示事项!$B$5),提示事项!$B$5&gt;0),C45*提示事项!$B$5/1000000,"")</x:f>
      </x:c>
      <x:c r="E57" s="224" t="str">
        <x:f>IF(AND(ISNUMBER(D45),ISNUMBER(提示事项!$B$5),提示事项!$B$5&gt;0),D45*提示事项!$B$5/1000000,"")</x:f>
      </x:c>
      <x:c r="F57" s="224" t="str">
        <x:f>IF(AND(ISNUMBER(E45),ISNUMBER(提示事项!$B$5),提示事项!$B$5&gt;0),E45*提示事项!$B$5/1000000,"")</x:f>
      </x:c>
      <x:c r="G57" s="214"/>
      <x:c r="H57" s="190"/>
      <x:c r="I57" s="190"/>
      <x:c r="J57" s="190"/>
      <x:c r="K57" s="190"/>
    </x:row>
    <x:row r="58" ht="22" hidden="1" customHeight="1">
      <x:c r="A58" s="204"/>
      <x:c r="B58" s="177" t="str">
        <x:v>非流动资产</x:v>
      </x:c>
      <x:c r="C58" s="224" t="str">
        <x:f>IF(AND(ISNUMBER(B46),ISNUMBER(提示事项!$B$5),提示事项!$B$5&gt;0),B46*提示事项!$B$5/1000000,"")</x:f>
      </x:c>
      <x:c r="D58" s="224" t="str">
        <x:f>IF(AND(ISNUMBER(C46),ISNUMBER(提示事项!$B$5),提示事项!$B$5&gt;0),C46*提示事项!$B$5/1000000,"")</x:f>
      </x:c>
      <x:c r="E58" s="224" t="str">
        <x:f>IF(AND(ISNUMBER(D46),ISNUMBER(提示事项!$B$5),提示事项!$B$5&gt;0),D46*提示事项!$B$5/1000000,"")</x:f>
      </x:c>
      <x:c r="F58" s="224" t="str">
        <x:f>IF(AND(ISNUMBER(E46),ISNUMBER(提示事项!$B$5),提示事项!$B$5&gt;0),E46*提示事项!$B$5/1000000,"")</x:f>
      </x:c>
      <x:c r="G58" s="214"/>
      <x:c r="H58" s="190"/>
      <x:c r="I58" s="190"/>
      <x:c r="J58" s="190"/>
      <x:c r="K58" s="190"/>
    </x:row>
    <x:row r="59" ht="22" hidden="1" customHeight="1">
      <x:c r="A59" s="204"/>
      <x:c r="B59" s="179" t="str">
        <x:v>资产合计</x:v>
      </x:c>
      <x:c r="C59" s="225" t="str">
        <x:f t="shared" ref="C59" si="9">IF(AND(ISNUMBER(B47),ISNUMBER(提示事项!$B$5),提示事项!$B$5&gt;0),B47*提示事项!$B$5/1000000,"")</x:f>
      </x:c>
      <x:c r="D59" s="225" t="str">
        <x:f>IF(AND(ISNUMBER(C47),ISNUMBER(提示事项!$B$5),提示事项!$B$5&gt;0),C47*提示事项!$B$5/1000000,"")</x:f>
      </x:c>
      <x:c r="E59" s="225" t="str">
        <x:f t="shared" ref="E59" si="10">IF(AND(ISNUMBER(D47),ISNUMBER(提示事项!$B$5),提示事项!$B$5&gt;0),D47*提示事项!$B$5/1000000,"")</x:f>
      </x:c>
      <x:c r="F59" s="225" t="str">
        <x:f>IF(AND(ISNUMBER(E47),ISNUMBER(提示事项!$B$5),提示事项!$B$5&gt;0),E47*提示事项!$B$5/1000000,"")</x:f>
      </x:c>
      <x:c r="G59" s="215"/>
      <x:c r="H59" s="190"/>
      <x:c r="I59" s="190"/>
      <x:c r="J59" s="190"/>
      <x:c r="K59" s="190"/>
    </x:row>
    <x:row r="60" ht="22" hidden="1" customHeight="1">
      <x:c r="A60" s="204"/>
      <x:c r="B60" s="177" t="str">
        <x:v>流动负债</x:v>
      </x:c>
      <x:c r="C60" s="224" t="str">
        <x:f>IF(AND(ISNUMBER(B48),ISNUMBER(提示事项!$B$5),提示事项!$B$5&gt;0),B48*提示事项!$B$5/1000000,"")</x:f>
      </x:c>
      <x:c r="D60" s="224" t="str">
        <x:f>IF(AND(ISNUMBER(C48),ISNUMBER(提示事项!$B$5),提示事项!$B$5&gt;0),C48*提示事项!$B$5/1000000,"")</x:f>
      </x:c>
      <x:c r="E60" s="224" t="str">
        <x:f>IF(AND(ISNUMBER(D48),ISNUMBER(提示事项!$B$5),提示事项!$B$5&gt;0),D48*提示事项!$B$5/1000000,"")</x:f>
      </x:c>
      <x:c r="F60" s="224" t="str">
        <x:f>IF(AND(ISNUMBER(E48),ISNUMBER(提示事项!$B$5),提示事项!$B$5&gt;0),E48*提示事项!$B$5/1000000,"")</x:f>
      </x:c>
      <x:c r="G60" s="214"/>
      <x:c r="H60" s="190"/>
      <x:c r="I60" s="190"/>
      <x:c r="J60" s="190"/>
      <x:c r="K60" s="190"/>
    </x:row>
    <x:row r="61" ht="22" hidden="1" customHeight="1">
      <x:c r="A61" s="204"/>
      <x:c r="B61" s="177" t="str">
        <x:v>非流动负债</x:v>
      </x:c>
      <x:c r="C61" s="224" t="str">
        <x:f>IF(AND(ISNUMBER(B49),ISNUMBER(提示事项!$B$5),提示事项!$B$5&gt;0),B49*提示事项!$B$5/1000000,"")</x:f>
      </x:c>
      <x:c r="D61" s="224" t="str">
        <x:f>IF(AND(ISNUMBER(C49),ISNUMBER(提示事项!$B$5),提示事项!$B$5&gt;0),C49*提示事项!$B$5/1000000,"")</x:f>
      </x:c>
      <x:c r="E61" s="224" t="str">
        <x:f>IF(AND(ISNUMBER(D49),ISNUMBER(提示事项!$B$5),提示事项!$B$5&gt;0),D49*提示事项!$B$5/1000000,"")</x:f>
      </x:c>
      <x:c r="F61" s="224" t="str">
        <x:f>IF(AND(ISNUMBER(E49),ISNUMBER(提示事项!$B$5),提示事项!$B$5&gt;0),E49*提示事项!$B$5/1000000,"")</x:f>
      </x:c>
      <x:c r="G61" s="214"/>
      <x:c r="H61" s="190"/>
      <x:c r="I61" s="190"/>
      <x:c r="J61" s="190"/>
      <x:c r="K61" s="190"/>
    </x:row>
    <x:row r="62" ht="22" hidden="1" customHeight="1">
      <x:c r="A62" s="204"/>
      <x:c r="B62" s="179" t="str">
        <x:v>负债合计</x:v>
      </x:c>
      <x:c r="C62" s="225" t="str">
        <x:f t="shared" ref="C62" si="11">IF(AND(ISNUMBER(B50),ISNUMBER(提示事项!$B$5),提示事项!$B$5&gt;0),B50*提示事项!$B$5/1000000,"")</x:f>
      </x:c>
      <x:c r="D62" s="225" t="str">
        <x:f>IF(AND(ISNUMBER(C50),ISNUMBER(提示事项!$B$5),提示事项!$B$5&gt;0),C50*提示事项!$B$5/1000000,"")</x:f>
      </x:c>
      <x:c r="E62" s="225" t="str">
        <x:f t="shared" ref="E62" si="12">IF(AND(ISNUMBER(D50),ISNUMBER(提示事项!$B$5),提示事项!$B$5&gt;0),D50*提示事项!$B$5/1000000,"")</x:f>
      </x:c>
      <x:c r="F62" s="225" t="str">
        <x:f>IF(AND(ISNUMBER(E50),ISNUMBER(提示事项!$B$5),提示事项!$B$5&gt;0),E50*提示事项!$B$5/1000000,"")</x:f>
      </x:c>
      <x:c r="G62" s="215"/>
      <x:c r="H62" s="190"/>
      <x:c r="I62" s="190"/>
      <x:c r="J62" s="190"/>
      <x:c r="K62" s="190"/>
    </x:row>
    <x:row r="63" ht="22" hidden="1" customHeight="1">
      <x:c r="A63" s="204"/>
      <x:c r="B63" s="179" t="str">
        <x:v>所有者权益</x:v>
      </x:c>
      <x:c r="C63" s="225" t="str">
        <x:f>IF(AND(ISNUMBER(B51),ISNUMBER(提示事项!$B$5),提示事项!$B$5&gt;0),B51*提示事项!$B$5/1000000,"")</x:f>
      </x:c>
      <x:c r="D63" s="225" t="str">
        <x:f>IF(AND(ISNUMBER(C51),ISNUMBER(提示事项!$B$5),提示事项!$B$5&gt;0),C51*提示事项!$B$5/1000000,"")</x:f>
      </x:c>
      <x:c r="E63" s="225" t="str">
        <x:f>IF(AND(ISNUMBER(D51),ISNUMBER(提示事项!$B$5),提示事项!$B$5&gt;0),D51*提示事项!$B$5/1000000,"")</x:f>
      </x:c>
      <x:c r="F63" s="225" t="str">
        <x:f>IF(AND(ISNUMBER(E51),ISNUMBER(提示事项!$B$5),提示事项!$B$5&gt;0),E51*提示事项!$B$5/1000000,"")</x:f>
      </x:c>
      <x:c r="G63" s="215"/>
      <x:c r="H63" s="190"/>
      <x:c r="I63" s="190"/>
      <x:c r="J63" s="190"/>
      <x:c r="K63" s="190"/>
    </x:row>
    <x:row r="64" ht="22" hidden="1" customHeight="1">
      <x:c r="A64" s="204"/>
      <x:c r="B64" s="177" t="str">
        <x:v>实收资本</x:v>
      </x:c>
      <x:c r="C64" s="224" t="str">
        <x:f>IF(AND(ISNUMBER(B52),ISNUMBER(提示事项!$B$5),提示事项!$B$5&gt;0),B52*提示事项!$B$5/1000000,"")</x:f>
      </x:c>
      <x:c r="D64" s="224" t="str">
        <x:f>IF(AND(ISNUMBER(C52),ISNUMBER(提示事项!$B$5),提示事项!$B$5&gt;0),C52*提示事项!$B$5/1000000,"")</x:f>
      </x:c>
      <x:c r="E64" s="224" t="str">
        <x:f>IF(AND(ISNUMBER(D52),ISNUMBER(提示事项!$B$5),提示事项!$B$5&gt;0),D52*提示事项!$B$5/1000000,"")</x:f>
      </x:c>
      <x:c r="F64" s="224" t="str">
        <x:f>IF(AND(ISNUMBER(E52),ISNUMBER(提示事项!$B$5),提示事项!$B$5&gt;0),E52*提示事项!$B$5/1000000,"")</x:f>
      </x:c>
      <x:c r="G64" s="214"/>
      <x:c r="H64" s="190"/>
      <x:c r="I64" s="190"/>
      <x:c r="J64" s="190"/>
      <x:c r="K64" s="190"/>
    </x:row>
    <x:row r="65" ht="22" hidden="1" customHeight="1">
      <x:c r="A65" s="204"/>
      <x:c r="B65" s="181" t="str">
        <x:v>负债及权益合计</x:v>
      </x:c>
      <x:c r="C65" s="226" t="str">
        <x:f t="shared" ref="C65" si="13">IF(AND(ISNUMBER(B53),ISNUMBER(提示事项!$B$5),提示事项!$B$5&gt;0),B53*提示事项!$B$5/1000000,"")</x:f>
      </x:c>
      <x:c r="D65" s="226" t="str">
        <x:f>IF(AND(ISNUMBER(C53),ISNUMBER(提示事项!$B$5),提示事项!$B$5&gt;0),C53*提示事项!$B$5/1000000,"")</x:f>
      </x:c>
      <x:c r="E65" s="226" t="str">
        <x:f t="shared" ref="E65" si="14">IF(AND(ISNUMBER(D53),ISNUMBER(提示事项!$B$5),提示事项!$B$5&gt;0),D53*提示事项!$B$5/1000000,"")</x:f>
      </x:c>
      <x:c r="F65" s="226" t="str">
        <x:f>IF(AND(ISNUMBER(E53),ISNUMBER(提示事项!$B$5),提示事项!$B$5&gt;0),E53*提示事项!$B$5/1000000,"")</x:f>
      </x:c>
      <x:c r="G65" s="215"/>
      <x:c r="H65" s="190"/>
      <x:c r="I65" s="190"/>
      <x:c r="J65" s="190"/>
      <x:c r="K65" s="190"/>
    </x:row>
    <x:row r="66" ht="22" hidden="1" customHeight="1">
      <x:c r="A66" s="204"/>
      <x:c r="B66" s="174"/>
      <x:c r="C66" s="227"/>
      <x:c r="D66" s="227"/>
      <x:c r="E66" s="227"/>
      <x:c r="F66" s="227"/>
      <x:c r="G66" s="212"/>
      <x:c r="H66" s="190"/>
      <x:c r="I66" s="190"/>
      <x:c r="J66" s="190"/>
      <x:c r="K66" s="190"/>
    </x:row>
    <x:row r="67" ht="22" hidden="1" customHeight="1">
      <x:c r="A67" s="204"/>
      <x:c r="B67" s="174"/>
      <x:c r="C67" s="227"/>
      <x:c r="D67" s="227"/>
      <x:c r="E67" s="227"/>
      <x:c r="F67" s="227"/>
      <x:c r="G67" s="212"/>
      <x:c r="H67" s="190"/>
      <x:c r="I67" s="190"/>
      <x:c r="J67" s="190"/>
      <x:c r="K67" s="190"/>
    </x:row>
    <x:row r="68" ht="22" hidden="1" customHeight="1">
      <x:c r="A68" s="204"/>
      <x:c r="B68" s="174"/>
      <x:c r="C68" s="227"/>
      <x:c r="D68" s="227"/>
      <x:c r="E68" s="227"/>
      <x:c r="F68" s="227"/>
      <x:c r="G68" s="212"/>
      <x:c r="H68" s="190"/>
      <x:c r="I68" s="190"/>
      <x:c r="J68" s="190"/>
      <x:c r="K68" s="190"/>
    </x:row>
    <x:row r="69" ht="22" hidden="1" customHeight="1">
      <x:c r="A69" s="204"/>
      <x:c r="B69" s="174"/>
      <x:c r="C69" s="227"/>
      <x:c r="D69" s="227"/>
      <x:c r="E69" s="227"/>
      <x:c r="F69" s="227"/>
      <x:c r="G69" s="212"/>
      <x:c r="H69" s="190"/>
      <x:c r="I69" s="190"/>
      <x:c r="J69" s="190"/>
      <x:c r="K69" s="190"/>
    </x:row>
    <x:row r="70" ht="22" hidden="1" customHeight="1">
      <x:c r="A70" s="204"/>
      <x:c r="B70" s="174"/>
      <x:c r="C70" s="227"/>
      <x:c r="D70" s="227"/>
      <x:c r="E70" s="227"/>
      <x:c r="F70" s="227"/>
      <x:c r="G70" s="212"/>
      <x:c r="H70" s="190"/>
      <x:c r="I70" s="190"/>
      <x:c r="J70" s="190"/>
      <x:c r="K70" s="190"/>
    </x:row>
    <x:row r="71" ht="22" hidden="1" customHeight="1">
      <x:c r="A71" s="204"/>
      <x:c r="B71" s="174" t="str">
        <x:v>营运资金（百万原币）</x:v>
      </x:c>
      <x:c r="C71" s="227" t="str">
        <x:f t="shared" ref="C71" si="15">IF(COUNT(C57,C60)=2,C57-C60,"")</x:f>
      </x:c>
      <x:c r="D71" s="227" t="str">
        <x:f>IF(COUNT(D57,D60)=2,D57-D60,"")</x:f>
      </x:c>
      <x:c r="E71" s="227" t="str">
        <x:f t="shared" ref="E71" si="16">IF(COUNT(E57,E60)=2,E57-E60,"")</x:f>
      </x:c>
      <x:c r="F71" s="227" t="str">
        <x:f>IF(COUNT(F57,F60)=2,F57-F60,"")</x:f>
      </x:c>
      <x:c r="G71" s="212"/>
      <x:c r="H71" s="190"/>
      <x:c r="I71" s="190"/>
      <x:c r="J71" s="190"/>
      <x:c r="K71" s="190"/>
    </x:row>
    <x:row r="72" ht="22" hidden="1" customHeight="1">
      <x:c r="A72" s="204"/>
      <x:c r="B72" s="174"/>
      <x:c r="C72" s="227"/>
      <x:c r="D72" s="227"/>
      <x:c r="E72" s="227"/>
      <x:c r="F72" s="227"/>
      <x:c r="G72" s="212"/>
      <x:c r="H72" s="190"/>
      <x:c r="I72" s="190"/>
      <x:c r="J72" s="190"/>
      <x:c r="K72" s="190"/>
    </x:row>
    <x:row r="73" ht="22" hidden="1" customHeight="1">
      <x:c r="A73" s="204"/>
      <x:c r="B73" s="174" t="str">
        <x:v>营运资金变化（可比时）</x:v>
      </x:c>
      <x:c r="C73" s="227"/>
      <x:c r="D73" s="227" t="str">
        <x:f>IF(AND(提示事项!$B$9="是",COUNT(D71,C71)=2),D71-C71,"")</x:f>
      </x:c>
      <x:c r="E73" s="227" t="str">
        <x:f>IF(AND(提示事项!$B$9="是",COUNT(E71,D71)=2),E71-D71,"")</x:f>
      </x:c>
      <x:c r="F73" s="227" t="str">
        <x:f>IF(AND(提示事项!$B$9="是",COUNT(F71,E71)=2),F71-E71,"")</x:f>
      </x:c>
      <x:c r="G73" s="212"/>
      <x:c r="H73" s="190"/>
      <x:c r="I73" s="190"/>
      <x:c r="J73" s="190"/>
      <x:c r="K73" s="190"/>
    </x:row>
    <x:row r="74" ht="22" hidden="1" customHeight="1">
      <x:c r="A74" s="204"/>
      <x:c r="B74" s="174"/>
      <x:c r="C74" s="174"/>
      <x:c r="D74" s="174"/>
      <x:c r="E74" s="174"/>
      <x:c r="F74" s="84"/>
      <x:c r="G74" s="212"/>
      <x:c r="H74" s="190"/>
      <x:c r="I74" s="190"/>
      <x:c r="J74" s="190"/>
      <x:c r="K74" s="190"/>
    </x:row>
    <x:row r="75" ht="22" hidden="1" customHeight="1">
      <x:c r="A75" s="204"/>
      <x:c r="B75" s="174"/>
      <x:c r="C75" s="174"/>
      <x:c r="D75" s="174"/>
      <x:c r="E75" s="174"/>
      <x:c r="F75" s="84"/>
      <x:c r="G75" s="212"/>
      <x:c r="H75" s="190"/>
      <x:c r="I75" s="190"/>
      <x:c r="J75" s="190"/>
      <x:c r="K75" s="190"/>
    </x:row>
    <x:row r="76" ht="22" hidden="1" customHeight="1">
      <x:c r="A76" s="204"/>
      <x:c r="B76" s="174"/>
      <x:c r="C76" s="174"/>
      <x:c r="D76" s="174"/>
      <x:c r="E76" s="174"/>
      <x:c r="F76" s="84"/>
      <x:c r="G76" s="212"/>
      <x:c r="H76" s="190"/>
      <x:c r="I76" s="190"/>
      <x:c r="J76" s="190"/>
      <x:c r="K76" s="190"/>
    </x:row>
    <x:row r="77" ht="22" hidden="1" customHeight="1">
      <x:c r="A77" s="204"/>
      <x:c r="B77" s="174"/>
      <x:c r="C77" s="174"/>
      <x:c r="D77" s="174"/>
      <x:c r="E77" s="174"/>
      <x:c r="F77" s="84"/>
      <x:c r="G77" s="212"/>
      <x:c r="H77" s="190"/>
      <x:c r="I77" s="190"/>
      <x:c r="J77" s="190"/>
      <x:c r="K77" s="190"/>
    </x:row>
    <x:row r="78" ht="26" customHeight="1">
      <x:c r="A78" s="205" t="str">
        <x:v>原币（见顶部金额单位）</x:v>
      </x:c>
      <x:c r="B78" s="183" t="str">
        <x:f>B44</x:f>
        <x:v>期间1</x:v>
      </x:c>
      <x:c r="C78" s="183" t="str">
        <x:f>C44</x:f>
        <x:v>期间2</x:v>
      </x:c>
      <x:c r="D78" s="183" t="str">
        <x:f>D44</x:f>
        <x:v>期间3</x:v>
      </x:c>
      <x:c r="E78" s="183" t="str">
        <x:f>E44</x:f>
        <x:v>期间4</x:v>
      </x:c>
      <x:c r="F78" s="64"/>
      <x:c r="G78" s="205" t="str">
        <x:v>美元（相同金额倍率）</x:v>
      </x:c>
      <x:c r="H78" s="183" t="str">
        <x:f>B44</x:f>
        <x:v>期间1</x:v>
      </x:c>
      <x:c r="I78" s="183" t="str">
        <x:f>C44</x:f>
        <x:v>期间2</x:v>
      </x:c>
      <x:c r="J78" s="183" t="str">
        <x:f>D44</x:f>
        <x:v>期间3</x:v>
      </x:c>
      <x:c r="K78" s="183" t="str">
        <x:f>E44</x:f>
        <x:v>期间4</x:v>
      </x:c>
      <x:c r="L78"/>
      <x:c r="M78"/>
      <x:c r="N78"/>
      <x:c r="O78"/>
      <x:c r="P78"/>
      <x:c r="Q78"/>
      <x:c r="R78"/>
      <x:c r="S78"/>
    </x:row>
    <x:row r="79" ht="22" customHeight="1">
      <x:c r="A79" s="201" t="str">
        <x:v>一、净营业收入</x:v>
      </x:c>
      <x:c r="B79" s="170"/>
      <x:c r="C79" s="170"/>
      <x:c r="D79" s="170"/>
      <x:c r="E79" s="170"/>
      <x:c r="F79" s="64"/>
      <x:c r="G79" s="201" t="str">
        <x:v>一、净营业收入</x:v>
      </x:c>
      <x:c r="H79" s="193" t="str">
        <x:f>IF(AND(ISNUMBER(B79),ISNUMBER(提示事项!$B$6),提示事项!$B$6&gt;0,提示事项!$B$7&lt;&gt;""),B79/提示事项!$B$6,"")</x:f>
      </x:c>
      <x:c r="I79" s="193" t="str">
        <x:f>IF(AND(ISNUMBER(C79),ISNUMBER(提示事项!$B$6),提示事项!$B$6&gt;0,提示事项!$B$7&lt;&gt;""),C79/提示事项!$B$6,"")</x:f>
      </x:c>
      <x:c r="J79" s="193" t="str">
        <x:f>IF(AND(ISNUMBER(D79),ISNUMBER(提示事项!$B$6),提示事项!$B$6&gt;0,提示事项!$B$7&lt;&gt;""),D79/提示事项!$B$6,"")</x:f>
      </x:c>
      <x:c r="K79" s="193" t="str">
        <x:f>IF(AND(ISNUMBER(E79),ISNUMBER(提示事项!$B$6),提示事项!$B$6&gt;0,提示事项!$B$7&lt;&gt;""),E79/提示事项!$B$6,"")</x:f>
      </x:c>
      <x:c r="L79"/>
      <x:c r="M79"/>
      <x:c r="N79"/>
      <x:c r="O79"/>
      <x:c r="P79"/>
      <x:c r="Q79"/>
      <x:c r="R79"/>
      <x:c r="S79"/>
    </x:row>
    <x:row r="80" ht="22" customHeight="1">
      <x:c r="A80" s="201" t="str">
        <x:v>减：营业成本</x:v>
      </x:c>
      <x:c r="B80" s="170"/>
      <x:c r="C80" s="170"/>
      <x:c r="D80" s="170"/>
      <x:c r="E80" s="170"/>
      <x:c r="F80" s="64"/>
      <x:c r="G80" s="201" t="str">
        <x:v>减：营业成本</x:v>
      </x:c>
      <x:c r="H80" s="193" t="str">
        <x:f>IF(AND(ISNUMBER(B80),ISNUMBER(提示事项!$B$6),提示事项!$B$6&gt;0,提示事项!$B$7&lt;&gt;""),B80/提示事项!$B$6,"")</x:f>
      </x:c>
      <x:c r="I80" s="193" t="str">
        <x:f>IF(AND(ISNUMBER(C80),ISNUMBER(提示事项!$B$6),提示事项!$B$6&gt;0,提示事项!$B$7&lt;&gt;""),C80/提示事项!$B$6,"")</x:f>
      </x:c>
      <x:c r="J80" s="193" t="str">
        <x:f>IF(AND(ISNUMBER(D80),ISNUMBER(提示事项!$B$6),提示事项!$B$6&gt;0,提示事项!$B$7&lt;&gt;""),D80/提示事项!$B$6,"")</x:f>
      </x:c>
      <x:c r="K80" s="193" t="str">
        <x:f>IF(AND(ISNUMBER(E80),ISNUMBER(提示事项!$B$6),提示事项!$B$6&gt;0,提示事项!$B$7&lt;&gt;""),E80/提示事项!$B$6,"")</x:f>
      </x:c>
      <x:c r="L80"/>
      <x:c r="M80"/>
      <x:c r="N80"/>
      <x:c r="O80"/>
      <x:c r="P80"/>
      <x:c r="Q80"/>
      <x:c r="R80"/>
      <x:c r="S80"/>
    </x:row>
    <x:row r="81" ht="22" customHeight="1">
      <x:c r="A81" s="201" t="str">
        <x:v>销售费用</x:v>
      </x:c>
      <x:c r="B81" s="170"/>
      <x:c r="C81" s="170"/>
      <x:c r="D81" s="170"/>
      <x:c r="E81" s="170"/>
      <x:c r="F81" s="64"/>
      <x:c r="G81" s="201" t="str">
        <x:v>销售费用</x:v>
      </x:c>
      <x:c r="H81" s="193" t="str">
        <x:f>IF(AND(ISNUMBER(B81),ISNUMBER(提示事项!$B$6),提示事项!$B$6&gt;0,提示事项!$B$7&lt;&gt;""),B81/提示事项!$B$6,"")</x:f>
      </x:c>
      <x:c r="I81" s="193" t="str">
        <x:f>IF(AND(ISNUMBER(C81),ISNUMBER(提示事项!$B$6),提示事项!$B$6&gt;0,提示事项!$B$7&lt;&gt;""),C81/提示事项!$B$6,"")</x:f>
      </x:c>
      <x:c r="J81" s="193" t="str">
        <x:f>IF(AND(ISNUMBER(D81),ISNUMBER(提示事项!$B$6),提示事项!$B$6&gt;0,提示事项!$B$7&lt;&gt;""),D81/提示事项!$B$6,"")</x:f>
      </x:c>
      <x:c r="K81" s="193" t="str">
        <x:f>IF(AND(ISNUMBER(E81),ISNUMBER(提示事项!$B$6),提示事项!$B$6&gt;0,提示事项!$B$7&lt;&gt;""),E81/提示事项!$B$6,"")</x:f>
      </x:c>
      <x:c r="L81"/>
      <x:c r="M81"/>
      <x:c r="N81"/>
      <x:c r="O81"/>
      <x:c r="P81"/>
      <x:c r="Q81"/>
      <x:c r="R81"/>
      <x:c r="S81"/>
    </x:row>
    <x:row r="82" ht="22" customHeight="1">
      <x:c r="A82" s="201" t="str">
        <x:v>管理费用</x:v>
      </x:c>
      <x:c r="B82" s="170"/>
      <x:c r="C82" s="170"/>
      <x:c r="D82" s="170"/>
      <x:c r="E82" s="170"/>
      <x:c r="F82" s="64"/>
      <x:c r="G82" s="201" t="str">
        <x:v>管理费用</x:v>
      </x:c>
      <x:c r="H82" s="193" t="str">
        <x:f>IF(AND(ISNUMBER(B82),ISNUMBER(提示事项!$B$6),提示事项!$B$6&gt;0,提示事项!$B$7&lt;&gt;""),B82/提示事项!$B$6,"")</x:f>
      </x:c>
      <x:c r="I82" s="193" t="str">
        <x:f>IF(AND(ISNUMBER(C82),ISNUMBER(提示事项!$B$6),提示事项!$B$6&gt;0,提示事项!$B$7&lt;&gt;""),C82/提示事项!$B$6,"")</x:f>
      </x:c>
      <x:c r="J82" s="193" t="str">
        <x:f>IF(AND(ISNUMBER(D82),ISNUMBER(提示事项!$B$6),提示事项!$B$6&gt;0,提示事项!$B$7&lt;&gt;""),D82/提示事项!$B$6,"")</x:f>
      </x:c>
      <x:c r="K82" s="193" t="str">
        <x:f>IF(AND(ISNUMBER(E82),ISNUMBER(提示事项!$B$6),提示事项!$B$6&gt;0,提示事项!$B$7&lt;&gt;""),E82/提示事项!$B$6,"")</x:f>
      </x:c>
      <x:c r="Q82"/>
    </x:row>
    <x:row r="83" ht="22" customHeight="1">
      <x:c r="A83" s="201" t="str">
        <x:v>研发费用</x:v>
      </x:c>
      <x:c r="B83" s="170"/>
      <x:c r="C83" s="170"/>
      <x:c r="D83" s="170"/>
      <x:c r="E83" s="170"/>
      <x:c r="F83" s="84"/>
      <x:c r="G83" s="201" t="str">
        <x:v>研发费用</x:v>
      </x:c>
      <x:c r="H83" s="193" t="str">
        <x:f>IF(AND(ISNUMBER(B83),ISNUMBER(提示事项!$B$6),提示事项!$B$6&gt;0,提示事项!$B$7&lt;&gt;""),B83/提示事项!$B$6,"")</x:f>
      </x:c>
      <x:c r="I83" s="193" t="str">
        <x:f>IF(AND(ISNUMBER(C83),ISNUMBER(提示事项!$B$6),提示事项!$B$6&gt;0,提示事项!$B$7&lt;&gt;""),C83/提示事项!$B$6,"")</x:f>
      </x:c>
      <x:c r="J83" s="193" t="str">
        <x:f>IF(AND(ISNUMBER(D83),ISNUMBER(提示事项!$B$6),提示事项!$B$6&gt;0,提示事项!$B$7&lt;&gt;""),D83/提示事项!$B$6,"")</x:f>
      </x:c>
      <x:c r="K83" s="193" t="str">
        <x:f>IF(AND(ISNUMBER(E83),ISNUMBER(提示事项!$B$6),提示事项!$B$6&gt;0,提示事项!$B$7&lt;&gt;""),E83/提示事项!$B$6,"")</x:f>
      </x:c>
    </x:row>
    <x:row r="84" ht="34" customHeight="1">
      <x:c r="A84" s="201" t="str">
        <x:v>财务费用净额（支出为正）</x:v>
      </x:c>
      <x:c r="B84" s="170"/>
      <x:c r="C84" s="170"/>
      <x:c r="D84" s="170"/>
      <x:c r="E84" s="170"/>
      <x:c r="F84" s="84"/>
      <x:c r="G84" s="201" t="str">
        <x:v>财务费用净额（支出为正）</x:v>
      </x:c>
      <x:c r="H84" s="193" t="str">
        <x:f>IF(AND(ISNUMBER(B84),ISNUMBER(提示事项!$B$6),提示事项!$B$6&gt;0,提示事项!$B$7&lt;&gt;""),B84/提示事项!$B$6,"")</x:f>
      </x:c>
      <x:c r="I84" s="193" t="str">
        <x:f>IF(AND(ISNUMBER(C84),ISNUMBER(提示事项!$B$6),提示事项!$B$6&gt;0,提示事项!$B$7&lt;&gt;""),C84/提示事项!$B$6,"")</x:f>
      </x:c>
      <x:c r="J84" s="193" t="str">
        <x:f>IF(AND(ISNUMBER(D84),ISNUMBER(提示事项!$B$6),提示事项!$B$6&gt;0,提示事项!$B$7&lt;&gt;""),D84/提示事项!$B$6,"")</x:f>
      </x:c>
      <x:c r="K84" s="193" t="str">
        <x:f>IF(AND(ISNUMBER(E84),ISNUMBER(提示事项!$B$6),提示事项!$B$6&gt;0,提示事项!$B$7&lt;&gt;""),E84/提示事项!$B$6,"")</x:f>
      </x:c>
    </x:row>
    <x:row r="85" ht="34" customHeight="1">
      <x:c r="A85" s="201" t="str">
        <x:v>其中：财务收入（不重复计入）</x:v>
      </x:c>
      <x:c r="B85" s="170"/>
      <x:c r="C85" s="170"/>
      <x:c r="D85" s="170"/>
      <x:c r="E85" s="170"/>
      <x:c r="F85" s="84"/>
      <x:c r="G85" s="201" t="str">
        <x:v>其中：财务收入（不重复计入）</x:v>
      </x:c>
      <x:c r="H85" s="193" t="str">
        <x:f>IF(AND(ISNUMBER(B85),ISNUMBER(提示事项!$B$6),提示事项!$B$6&gt;0,提示事项!$B$7&lt;&gt;""),B85/提示事项!$B$6,"")</x:f>
      </x:c>
      <x:c r="I85" s="193" t="str">
        <x:f>IF(AND(ISNUMBER(C85),ISNUMBER(提示事项!$B$6),提示事项!$B$6&gt;0,提示事项!$B$7&lt;&gt;""),C85/提示事项!$B$6,"")</x:f>
      </x:c>
      <x:c r="J85" s="193" t="str">
        <x:f>IF(AND(ISNUMBER(D85),ISNUMBER(提示事项!$B$6),提示事项!$B$6&gt;0,提示事项!$B$7&lt;&gt;""),D85/提示事项!$B$6,"")</x:f>
      </x:c>
      <x:c r="K85" s="193" t="str">
        <x:f>IF(AND(ISNUMBER(E85),ISNUMBER(提示事项!$B$6),提示事项!$B$6&gt;0,提示事项!$B$7&lt;&gt;""),E85/提示事项!$B$6,"")</x:f>
      </x:c>
    </x:row>
    <x:row r="86" ht="34" customHeight="1">
      <x:c r="A86" s="201" t="str">
        <x:v>其中：财务支出（不重复计入）</x:v>
      </x:c>
      <x:c r="B86" s="170"/>
      <x:c r="C86" s="170"/>
      <x:c r="D86" s="170"/>
      <x:c r="E86" s="170"/>
      <x:c r="F86" s="84"/>
      <x:c r="G86" s="201" t="str">
        <x:v>其中：财务支出（不重复计入）</x:v>
      </x:c>
      <x:c r="H86" s="193" t="str">
        <x:f>IF(AND(ISNUMBER(B86),ISNUMBER(提示事项!$B$6),提示事项!$B$6&gt;0,提示事项!$B$7&lt;&gt;""),B86/提示事项!$B$6,"")</x:f>
      </x:c>
      <x:c r="I86" s="193" t="str">
        <x:f>IF(AND(ISNUMBER(C86),ISNUMBER(提示事项!$B$6),提示事项!$B$6&gt;0,提示事项!$B$7&lt;&gt;""),C86/提示事项!$B$6,"")</x:f>
      </x:c>
      <x:c r="J86" s="193" t="str">
        <x:f>IF(AND(ISNUMBER(D86),ISNUMBER(提示事项!$B$6),提示事项!$B$6&gt;0,提示事项!$B$7&lt;&gt;""),D86/提示事项!$B$6,"")</x:f>
      </x:c>
      <x:c r="K86" s="193" t="str">
        <x:f>IF(AND(ISNUMBER(E86),ISNUMBER(提示事项!$B$6),提示事项!$B$6&gt;0,提示事项!$B$7&lt;&gt;""),E86/提示事项!$B$6,"")</x:f>
      </x:c>
    </x:row>
    <x:row r="87" ht="34" customHeight="1">
      <x:c r="A87" s="201" t="str">
        <x:v>其中：净汇兑损失（不重复计入）</x:v>
      </x:c>
      <x:c r="B87" s="170"/>
      <x:c r="C87" s="170"/>
      <x:c r="D87" s="170"/>
      <x:c r="E87" s="170"/>
      <x:c r="F87" s="84"/>
      <x:c r="G87" s="201" t="str">
        <x:v>其中：净汇兑损失（不重复计入）</x:v>
      </x:c>
      <x:c r="H87" s="193" t="str">
        <x:f>IF(AND(ISNUMBER(B87),ISNUMBER(提示事项!$B$6),提示事项!$B$6&gt;0,提示事项!$B$7&lt;&gt;""),B87/提示事项!$B$6,"")</x:f>
      </x:c>
      <x:c r="I87" s="193" t="str">
        <x:f>IF(AND(ISNUMBER(C87),ISNUMBER(提示事项!$B$6),提示事项!$B$6&gt;0,提示事项!$B$7&lt;&gt;""),C87/提示事项!$B$6,"")</x:f>
      </x:c>
      <x:c r="J87" s="193" t="str">
        <x:f>IF(AND(ISNUMBER(D87),ISNUMBER(提示事项!$B$6),提示事项!$B$6&gt;0,提示事项!$B$7&lt;&gt;""),D87/提示事项!$B$6,"")</x:f>
      </x:c>
      <x:c r="K87" s="193" t="str">
        <x:f>IF(AND(ISNUMBER(E87),ISNUMBER(提示事项!$B$6),提示事项!$B$6&gt;0,提示事项!$B$7&lt;&gt;""),E87/提示事项!$B$6,"")</x:f>
      </x:c>
    </x:row>
    <x:row r="88" ht="34" customHeight="1">
      <x:c r="A88" s="206" t="str">
        <x:v>二、利润（含财务项，模板测算）</x:v>
      </x:c>
      <x:c r="B88" s="184" t="str">
        <x:f t="shared" ref="B88:E88" si="17">IF(COUNT(B79:B84)=6,B79-SUM(B80:B84),"")</x:f>
      </x:c>
      <x:c r="C88" s="184" t="str">
        <x:f t="shared" si="17">IF(COUNT(C79:C84)=6,C79-SUM(C80:C84),"")</x:f>
      </x:c>
      <x:c r="D88" s="184" t="str">
        <x:f t="shared" si="17">IF(COUNT(D79:D84)=6,D79-SUM(D80:D84),"")</x:f>
      </x:c>
      <x:c r="E88" s="184" t="str">
        <x:f t="shared" si="17">IF(COUNT(E79:E84)=6,E79-SUM(E80:E84),"")</x:f>
      </x:c>
      <x:c r="F88" s="84"/>
      <x:c r="G88" s="206" t="str">
        <x:v>二、利润（含财务项，模板测算）</x:v>
      </x:c>
      <x:c r="H88" s="196" t="str">
        <x:f t="shared" ref="H88:K88" si="18">IF(AND(ISNUMBER(B88),ISNUMBER(提示事项!$B$6),提示事项!$B$6&gt;0,提示事项!$B$7&lt;&gt;""),B88/提示事项!$B$6,"")</x:f>
      </x:c>
      <x:c r="I88" s="196" t="str">
        <x:f t="shared" si="18">IF(AND(ISNUMBER(C88),ISNUMBER(提示事项!$B$6),提示事项!$B$6&gt;0,提示事项!$B$7&lt;&gt;""),C88/提示事项!$B$6,"")</x:f>
      </x:c>
      <x:c r="J88" s="196" t="str">
        <x:f t="shared" si="18">IF(AND(ISNUMBER(D88),ISNUMBER(提示事项!$B$6),提示事项!$B$6&gt;0,提示事项!$B$7&lt;&gt;""),D88/提示事项!$B$6,"")</x:f>
      </x:c>
      <x:c r="K88" s="196" t="str">
        <x:f t="shared" si="18">IF(AND(ISNUMBER(E88),ISNUMBER(提示事项!$B$6),提示事项!$B$6&gt;0,提示事项!$B$7&lt;&gt;""),E88/提示事项!$B$6,"")</x:f>
      </x:c>
    </x:row>
    <x:row r="89" ht="22" customHeight="1">
      <x:c r="A89" s="201" t="str">
        <x:v>加：其他收入（按附注归类）</x:v>
      </x:c>
      <x:c r="B89" s="170"/>
      <x:c r="C89" s="170"/>
      <x:c r="D89" s="170"/>
      <x:c r="E89" s="170"/>
      <x:c r="F89" s="84"/>
      <x:c r="G89" s="201" t="str">
        <x:v>加：其他收入（按附注归类）</x:v>
      </x:c>
      <x:c r="H89" s="193" t="str">
        <x:f>IF(AND(ISNUMBER(B89),ISNUMBER(提示事项!$B$6),提示事项!$B$6&gt;0,提示事项!$B$7&lt;&gt;""),B89/提示事项!$B$6,"")</x:f>
      </x:c>
      <x:c r="I89" s="193" t="str">
        <x:f>IF(AND(ISNUMBER(C89),ISNUMBER(提示事项!$B$6),提示事项!$B$6&gt;0,提示事项!$B$7&lt;&gt;""),C89/提示事项!$B$6,"")</x:f>
      </x:c>
      <x:c r="J89" s="193" t="str">
        <x:f>IF(AND(ISNUMBER(D89),ISNUMBER(提示事项!$B$6),提示事项!$B$6&gt;0,提示事项!$B$7&lt;&gt;""),D89/提示事项!$B$6,"")</x:f>
      </x:c>
      <x:c r="K89" s="193" t="str">
        <x:f>IF(AND(ISNUMBER(E89),ISNUMBER(提示事项!$B$6),提示事项!$B$6&gt;0,提示事项!$B$7&lt;&gt;""),E89/提示事项!$B$6,"")</x:f>
      </x:c>
    </x:row>
    <x:row r="90" ht="22" customHeight="1">
      <x:c r="A90" s="201" t="str">
        <x:v>减：其他支出</x:v>
      </x:c>
      <x:c r="B90" s="170"/>
      <x:c r="C90" s="170"/>
      <x:c r="D90" s="170"/>
      <x:c r="E90" s="170"/>
      <x:c r="F90" s="84"/>
      <x:c r="G90" s="201" t="str">
        <x:v>减：其他支出</x:v>
      </x:c>
      <x:c r="H90" s="193" t="str">
        <x:f>IF(AND(ISNUMBER(B90),ISNUMBER(提示事项!$B$6),提示事项!$B$6&gt;0,提示事项!$B$7&lt;&gt;""),B90/提示事项!$B$6,"")</x:f>
      </x:c>
      <x:c r="I90" s="193" t="str">
        <x:f>IF(AND(ISNUMBER(C90),ISNUMBER(提示事项!$B$6),提示事项!$B$6&gt;0,提示事项!$B$7&lt;&gt;""),C90/提示事项!$B$6,"")</x:f>
      </x:c>
      <x:c r="J90" s="193" t="str">
        <x:f>IF(AND(ISNUMBER(D90),ISNUMBER(提示事项!$B$6),提示事项!$B$6&gt;0,提示事项!$B$7&lt;&gt;""),D90/提示事项!$B$6,"")</x:f>
      </x:c>
      <x:c r="K90" s="193" t="str">
        <x:f>IF(AND(ISNUMBER(E90),ISNUMBER(提示事项!$B$6),提示事项!$B$6&gt;0,提示事项!$B$7&lt;&gt;""),E90/提示事项!$B$6,"")</x:f>
      </x:c>
    </x:row>
    <x:row r="91" ht="22" customHeight="1">
      <x:c r="A91" s="206" t="str">
        <x:v>三、利润总额（测算）</x:v>
      </x:c>
      <x:c r="B91" s="184" t="str">
        <x:f t="shared" ref="B91:E91" si="19">IF(COUNT(B88:B90)=3,B88+B89-B90,"")</x:f>
      </x:c>
      <x:c r="C91" s="184" t="str">
        <x:f t="shared" si="19">IF(COUNT(C88:C90)=3,C88+C89-C90,"")</x:f>
      </x:c>
      <x:c r="D91" s="184" t="str">
        <x:f t="shared" si="19">IF(COUNT(D88:D90)=3,D88+D89-D90,"")</x:f>
      </x:c>
      <x:c r="E91" s="184" t="str">
        <x:f t="shared" si="19">IF(COUNT(E88:E90)=3,E88+E89-E90,"")</x:f>
      </x:c>
      <x:c r="F91" s="63"/>
      <x:c r="G91" s="206" t="str">
        <x:v>三、利润总额（测算）</x:v>
      </x:c>
      <x:c r="H91" s="196" t="str">
        <x:f t="shared" ref="H91:K91" si="20">IF(AND(ISNUMBER(B91),ISNUMBER(提示事项!$B$6),提示事项!$B$6&gt;0,提示事项!$B$7&lt;&gt;""),B91/提示事项!$B$6,"")</x:f>
      </x:c>
      <x:c r="I91" s="196" t="str">
        <x:f t="shared" si="20">IF(AND(ISNUMBER(C91),ISNUMBER(提示事项!$B$6),提示事项!$B$6&gt;0,提示事项!$B$7&lt;&gt;""),C91/提示事项!$B$6,"")</x:f>
      </x:c>
      <x:c r="J91" s="196" t="str">
        <x:f t="shared" si="20">IF(AND(ISNUMBER(D91),ISNUMBER(提示事项!$B$6),提示事项!$B$6&gt;0,提示事项!$B$7&lt;&gt;""),D91/提示事项!$B$6,"")</x:f>
      </x:c>
      <x:c r="K91" s="196" t="str">
        <x:f t="shared" si="20">IF(AND(ISNUMBER(E91),ISNUMBER(提示事项!$B$6),提示事项!$B$6&gt;0,提示事项!$B$7&lt;&gt;""),E91/提示事项!$B$6,"")</x:f>
      </x:c>
    </x:row>
    <x:row r="92" ht="22" customHeight="1">
      <x:c r="A92" s="201" t="str">
        <x:v>减：所得税费用（收益为负）</x:v>
      </x:c>
      <x:c r="B92" s="170"/>
      <x:c r="C92" s="170"/>
      <x:c r="D92" s="170"/>
      <x:c r="E92" s="170"/>
      <x:c r="F92" s="63"/>
      <x:c r="G92" s="201" t="str">
        <x:v>减：所得税费用（收益为负）</x:v>
      </x:c>
      <x:c r="H92" s="193" t="str">
        <x:f>IF(AND(ISNUMBER(B92),ISNUMBER(提示事项!$B$6),提示事项!$B$6&gt;0,提示事项!$B$7&lt;&gt;""),B92/提示事项!$B$6,"")</x:f>
      </x:c>
      <x:c r="I92" s="193" t="str">
        <x:f>IF(AND(ISNUMBER(C92),ISNUMBER(提示事项!$B$6),提示事项!$B$6&gt;0,提示事项!$B$7&lt;&gt;""),C92/提示事项!$B$6,"")</x:f>
      </x:c>
      <x:c r="J92" s="193" t="str">
        <x:f>IF(AND(ISNUMBER(D92),ISNUMBER(提示事项!$B$6),提示事项!$B$6&gt;0,提示事项!$B$7&lt;&gt;""),D92/提示事项!$B$6,"")</x:f>
      </x:c>
      <x:c r="K92" s="193" t="str">
        <x:f>IF(AND(ISNUMBER(E92),ISNUMBER(提示事项!$B$6),提示事项!$B$6&gt;0,提示事项!$B$7&lt;&gt;""),E92/提示事项!$B$6,"")</x:f>
      </x:c>
    </x:row>
    <x:row r="93" ht="22" customHeight="1">
      <x:c r="A93" s="207" t="str">
        <x:v>四、净利润（测算）</x:v>
      </x:c>
      <x:c r="B93" s="185" t="str">
        <x:f t="shared" ref="B93:E93" si="21">IF(COUNT(B91:B92)=2,B91-B92,"")</x:f>
      </x:c>
      <x:c r="C93" s="185" t="str">
        <x:f t="shared" si="21">IF(COUNT(C91:C92)=2,C91-C92,"")</x:f>
      </x:c>
      <x:c r="D93" s="185" t="str">
        <x:f t="shared" si="21">IF(COUNT(D91:D92)=2,D91-D92,"")</x:f>
      </x:c>
      <x:c r="E93" s="185" t="str">
        <x:f t="shared" si="21">IF(COUNT(E91:E92)=2,E91-E92,"")</x:f>
      </x:c>
      <x:c r="F93" s="63"/>
      <x:c r="G93" s="207" t="str">
        <x:v>四、净利润（测算）</x:v>
      </x:c>
      <x:c r="H93" s="197" t="str">
        <x:f t="shared" ref="H93:K93" si="22">IF(AND(ISNUMBER(B93),ISNUMBER(提示事项!$B$6),提示事项!$B$6&gt;0,提示事项!$B$7&lt;&gt;""),B93/提示事项!$B$6,"")</x:f>
      </x:c>
      <x:c r="I93" s="197" t="str">
        <x:f t="shared" si="22">IF(AND(ISNUMBER(C93),ISNUMBER(提示事项!$B$6),提示事项!$B$6&gt;0,提示事项!$B$7&lt;&gt;""),C93/提示事项!$B$6,"")</x:f>
      </x:c>
      <x:c r="J93" s="197" t="str">
        <x:f t="shared" si="22">IF(AND(ISNUMBER(D93),ISNUMBER(提示事项!$B$6),提示事项!$B$6&gt;0,提示事项!$B$7&lt;&gt;""),D93/提示事项!$B$6,"")</x:f>
      </x:c>
      <x:c r="K93" s="197" t="str">
        <x:f t="shared" si="22">IF(AND(ISNUMBER(E93),ISNUMBER(提示事项!$B$6),提示事项!$B$6&gt;0,提示事项!$B$7&lt;&gt;""),E93/提示事项!$B$6,"")</x:f>
      </x:c>
    </x:row>
    <x:row r="94" ht="34" customHeight="1">
      <x:c r="A94" s="208" t="str">
        <x:v>营业利润（不含财务项，测算）</x:v>
      </x:c>
      <x:c r="B94" s="186" t="str">
        <x:f>IF(COUNT(B79:B83)=5,B79-SUM(B80:B83),"")</x:f>
      </x:c>
      <x:c r="C94" s="186" t="str">
        <x:f>IF(COUNT(C79:C83)=5,C79-SUM(C80:C83),"")</x:f>
      </x:c>
      <x:c r="D94" s="186" t="str">
        <x:f>IF(COUNT(D79:D83)=5,D79-SUM(D80:D83),"")</x:f>
      </x:c>
      <x:c r="E94" s="186" t="str">
        <x:f>IF(COUNT(E79:E83)=5,E79-SUM(E80:E83),"")</x:f>
      </x:c>
      <x:c r="F94" s="63"/>
      <x:c r="G94" s="216" t="str">
        <x:v>营业利润（不含财务项，测算）</x:v>
      </x:c>
      <x:c r="H94" s="190" t="str">
        <x:f>IF(AND(ISNUMBER(B94),ISNUMBER(提示事项!$B$6),提示事项!$B$6&gt;0,提示事项!$B$7&lt;&gt;""),B94/提示事项!$B$6,"")</x:f>
      </x:c>
      <x:c r="I94" s="190" t="str">
        <x:f>IF(AND(ISNUMBER(C94),ISNUMBER(提示事项!$B$6),提示事项!$B$6&gt;0,提示事项!$B$7&lt;&gt;""),C94/提示事项!$B$6,"")</x:f>
      </x:c>
      <x:c r="J94" s="190" t="str">
        <x:f>IF(AND(ISNUMBER(D94),ISNUMBER(提示事项!$B$6),提示事项!$B$6&gt;0,提示事项!$B$7&lt;&gt;""),D94/提示事项!$B$6,"")</x:f>
      </x:c>
      <x:c r="K94" s="190" t="str">
        <x:f>IF(AND(ISNUMBER(E94),ISNUMBER(提示事项!$B$6),提示事项!$B$6&gt;0,提示事项!$B$7&lt;&gt;""),E94/提示事项!$B$6,"")</x:f>
      </x:c>
    </x:row>
    <x:row r="95" ht="26" customHeight="1">
      <x:c r="A95" s="205" t="str">
        <x:v>原币（见顶部金额单位）</x:v>
      </x:c>
      <x:c r="B95" s="183" t="str">
        <x:f ca="1">B44</x:f>
        <x:v>期间1</x:v>
      </x:c>
      <x:c r="C95" s="183" t="str">
        <x:f ca="1">C44</x:f>
        <x:v>期间2</x:v>
      </x:c>
      <x:c r="D95" s="183" t="str">
        <x:f ca="1">D44</x:f>
        <x:v>期间3</x:v>
      </x:c>
      <x:c r="E95" s="183" t="str">
        <x:f ca="1">E44</x:f>
        <x:v>期间4</x:v>
      </x:c>
      <x:c r="F95" s="63"/>
      <x:c r="G95" s="205" t="str">
        <x:v>美元（相同金额倍率）</x:v>
      </x:c>
      <x:c r="H95" s="183" t="str">
        <x:f ca="1">B44</x:f>
        <x:v>期间1</x:v>
      </x:c>
      <x:c r="I95" s="183" t="str">
        <x:f ca="1">C44</x:f>
        <x:v>期间2</x:v>
      </x:c>
      <x:c r="J95" s="183" t="str">
        <x:f ca="1">D44</x:f>
        <x:v>期间3</x:v>
      </x:c>
      <x:c r="K95" s="183" t="str">
        <x:f ca="1">E44</x:f>
        <x:v>期间4</x:v>
      </x:c>
    </x:row>
    <x:row r="96" ht="22" customHeight="1">
      <x:c r="A96" s="201" t="str">
        <x:v>一、经营活动净现金流</x:v>
      </x:c>
      <x:c r="B96" s="187"/>
      <x:c r="C96" s="187"/>
      <x:c r="D96" s="187"/>
      <x:c r="E96" s="187"/>
      <x:c r="F96" s="63"/>
      <x:c r="G96" s="201" t="str">
        <x:v>一、经营活动净现金流</x:v>
      </x:c>
      <x:c r="H96" s="198" t="str">
        <x:f>IF(AND(ISNUMBER(B96),ISNUMBER(提示事项!$B$6),提示事项!$B$6&gt;0,提示事项!$B$7&lt;&gt;""),B96/提示事项!$B$6,"")</x:f>
      </x:c>
      <x:c r="I96" s="198" t="str">
        <x:f>IF(AND(ISNUMBER(C96),ISNUMBER(提示事项!$B$6),提示事项!$B$6&gt;0,提示事项!$B$7&lt;&gt;""),C96/提示事项!$B$6,"")</x:f>
      </x:c>
      <x:c r="J96" s="198" t="str">
        <x:f>IF(AND(ISNUMBER(D96),ISNUMBER(提示事项!$B$6),提示事项!$B$6&gt;0,提示事项!$B$7&lt;&gt;""),D96/提示事项!$B$6,"")</x:f>
      </x:c>
      <x:c r="K96" s="198" t="str">
        <x:f>IF(AND(ISNUMBER(E96),ISNUMBER(提示事项!$B$6),提示事项!$B$6&gt;0,提示事项!$B$7&lt;&gt;""),E96/提示事项!$B$6,"")</x:f>
      </x:c>
    </x:row>
    <x:row r="97" ht="22" customHeight="1">
      <x:c r="A97" s="209" t="str">
        <x:v>二、投资活动净现金流</x:v>
      </x:c>
      <x:c r="B97" s="187"/>
      <x:c r="C97" s="187"/>
      <x:c r="D97" s="187"/>
      <x:c r="E97" s="187"/>
      <x:c r="F97" s="63"/>
      <x:c r="G97" s="209" t="str">
        <x:v>二、投资活动净现金流</x:v>
      </x:c>
      <x:c r="H97" s="198" t="str">
        <x:f>IF(AND(ISNUMBER(B97),ISNUMBER(提示事项!$B$6),提示事项!$B$6&gt;0,提示事项!$B$7&lt;&gt;""),B97/提示事项!$B$6,"")</x:f>
      </x:c>
      <x:c r="I97" s="198" t="str">
        <x:f>IF(AND(ISNUMBER(C97),ISNUMBER(提示事项!$B$6),提示事项!$B$6&gt;0,提示事项!$B$7&lt;&gt;""),C97/提示事项!$B$6,"")</x:f>
      </x:c>
      <x:c r="J97" s="198" t="str">
        <x:f>IF(AND(ISNUMBER(D97),ISNUMBER(提示事项!$B$6),提示事项!$B$6&gt;0,提示事项!$B$7&lt;&gt;""),D97/提示事项!$B$6,"")</x:f>
      </x:c>
      <x:c r="K97" s="198" t="str">
        <x:f>IF(AND(ISNUMBER(E97),ISNUMBER(提示事项!$B$6),提示事项!$B$6&gt;0,提示事项!$B$7&lt;&gt;""),E97/提示事项!$B$6,"")</x:f>
      </x:c>
    </x:row>
    <x:row r="98" ht="22" customHeight="1">
      <x:c r="A98" s="209" t="str">
        <x:v>三、融资活动净现金流</x:v>
      </x:c>
      <x:c r="B98" s="187"/>
      <x:c r="C98" s="187"/>
      <x:c r="D98" s="187"/>
      <x:c r="E98" s="187"/>
      <x:c r="F98" s="63"/>
      <x:c r="G98" s="209" t="str">
        <x:v>三、融资活动净现金流</x:v>
      </x:c>
      <x:c r="H98" s="198" t="str">
        <x:f>IF(AND(ISNUMBER(B98),ISNUMBER(提示事项!$B$6),提示事项!$B$6&gt;0,提示事项!$B$7&lt;&gt;""),B98/提示事项!$B$6,"")</x:f>
      </x:c>
      <x:c r="I98" s="198" t="str">
        <x:f>IF(AND(ISNUMBER(C98),ISNUMBER(提示事项!$B$6),提示事项!$B$6&gt;0,提示事项!$B$7&lt;&gt;""),C98/提示事项!$B$6,"")</x:f>
      </x:c>
      <x:c r="J98" s="198" t="str">
        <x:f>IF(AND(ISNUMBER(D98),ISNUMBER(提示事项!$B$6),提示事项!$B$6&gt;0,提示事项!$B$7&lt;&gt;""),D98/提示事项!$B$6,"")</x:f>
      </x:c>
      <x:c r="K98" s="198" t="str">
        <x:f>IF(AND(ISNUMBER(E98),ISNUMBER(提示事项!$B$6),提示事项!$B$6&gt;0,提示事项!$B$7&lt;&gt;""),E98/提示事项!$B$6,"")</x:f>
      </x:c>
    </x:row>
    <x:row r="99" ht="22" customHeight="1">
      <x:c r="A99" s="209" t="str">
        <x:v>四、汇率及其他披露调整</x:v>
      </x:c>
      <x:c r="B99" s="187"/>
      <x:c r="C99" s="187"/>
      <x:c r="D99" s="187"/>
      <x:c r="E99" s="187"/>
      <x:c r="F99" s="63"/>
      <x:c r="G99" s="209" t="str">
        <x:v>四、汇率及其他披露调整</x:v>
      </x:c>
      <x:c r="H99" s="198" t="str">
        <x:f>IF(AND(ISNUMBER(B99),ISNUMBER(提示事项!$B$6),提示事项!$B$6&gt;0,提示事项!$B$7&lt;&gt;""),B99/提示事项!$B$6,"")</x:f>
      </x:c>
      <x:c r="I99" s="198" t="str">
        <x:f>IF(AND(ISNUMBER(C99),ISNUMBER(提示事项!$B$6),提示事项!$B$6&gt;0,提示事项!$B$7&lt;&gt;""),C99/提示事项!$B$6,"")</x:f>
      </x:c>
      <x:c r="J99" s="198" t="str">
        <x:f>IF(AND(ISNUMBER(D99),ISNUMBER(提示事项!$B$6),提示事项!$B$6&gt;0,提示事项!$B$7&lt;&gt;""),D99/提示事项!$B$6,"")</x:f>
      </x:c>
      <x:c r="K99" s="198" t="str">
        <x:f>IF(AND(ISNUMBER(E99),ISNUMBER(提示事项!$B$6),提示事项!$B$6&gt;0,提示事项!$B$7&lt;&gt;""),E99/提示事项!$B$6,"")</x:f>
      </x:c>
    </x:row>
    <x:row r="100" ht="22" customHeight="1">
      <x:c r="A100" s="209" t="str">
        <x:v>五、现金净增加额</x:v>
      </x:c>
      <x:c r="B100" s="188" t="str">
        <x:f t="shared" ref="B100:E100" si="23">IF(COUNT(B96:B99)=4,SUM(B96:B99),"")</x:f>
      </x:c>
      <x:c r="C100" s="188" t="str">
        <x:f t="shared" si="23">IF(COUNT(C96:C99)=4,SUM(C96:C99),"")</x:f>
      </x:c>
      <x:c r="D100" s="188" t="str">
        <x:f t="shared" si="23">IF(COUNT(D96:D99)=4,SUM(D96:D99),"")</x:f>
      </x:c>
      <x:c r="E100" s="188" t="str">
        <x:f t="shared" si="23">IF(COUNT(E96:E99)=4,SUM(E96:E99),"")</x:f>
      </x:c>
      <x:c r="F100" s="63"/>
      <x:c r="G100" s="209" t="str">
        <x:v>五、现金净增加额</x:v>
      </x:c>
      <x:c r="H100" s="199" t="str">
        <x:f t="shared" ref="H100:K100" si="24">IF(AND(ISNUMBER(B100),ISNUMBER(提示事项!$B$6),提示事项!$B$6&gt;0,提示事项!$B$7&lt;&gt;""),B100/提示事项!$B$6,"")</x:f>
      </x:c>
      <x:c r="I100" s="199" t="str">
        <x:f t="shared" si="24">IF(AND(ISNUMBER(C100),ISNUMBER(提示事项!$B$6),提示事项!$B$6&gt;0,提示事项!$B$7&lt;&gt;""),C100/提示事项!$B$6,"")</x:f>
      </x:c>
      <x:c r="J100" s="199" t="str">
        <x:f t="shared" si="24">IF(AND(ISNUMBER(D100),ISNUMBER(提示事项!$B$6),提示事项!$B$6&gt;0,提示事项!$B$7&lt;&gt;""),D100/提示事项!$B$6,"")</x:f>
      </x:c>
      <x:c r="K100" s="199" t="str">
        <x:f t="shared" si="24">IF(AND(ISNUMBER(E100),ISNUMBER(提示事项!$B$6),提示事项!$B$6&gt;0,提示事项!$B$7&lt;&gt;""),E100/提示事项!$B$6,"")</x:f>
      </x:c>
    </x:row>
    <x:row r="101" ht="34" customHeight="1">
      <x:c r="A101" s="209" t="str">
        <x:v>加：期初现金及现金等价物</x:v>
      </x:c>
      <x:c r="B101" s="187"/>
      <x:c r="C101" s="187"/>
      <x:c r="D101" s="187"/>
      <x:c r="E101" s="187"/>
      <x:c r="F101" s="63"/>
      <x:c r="G101" s="209" t="str">
        <x:v>加：期初现金及现金等价物</x:v>
      </x:c>
      <x:c r="H101" s="199" t="str">
        <x:f>IF(AND(ISNUMBER(B101),ISNUMBER(提示事项!$B$6),提示事项!$B$6&gt;0,提示事项!$B$7&lt;&gt;""),B101/提示事项!$B$6,"")</x:f>
      </x:c>
      <x:c r="I101" s="199" t="str">
        <x:f>IF(AND(ISNUMBER(C101),ISNUMBER(提示事项!$B$6),提示事项!$B$6&gt;0,提示事项!$B$7&lt;&gt;""),C101/提示事项!$B$6,"")</x:f>
      </x:c>
      <x:c r="J101" s="199" t="str">
        <x:f>IF(AND(ISNUMBER(D101),ISNUMBER(提示事项!$B$6),提示事项!$B$6&gt;0,提示事项!$B$7&lt;&gt;""),D101/提示事项!$B$6,"")</x:f>
      </x:c>
      <x:c r="K101" s="199" t="str">
        <x:f>IF(AND(ISNUMBER(E101),ISNUMBER(提示事项!$B$6),提示事项!$B$6&gt;0,提示事项!$B$7&lt;&gt;""),E101/提示事项!$B$6,"")</x:f>
      </x:c>
    </x:row>
    <x:row r="102" ht="34" customHeight="1">
      <x:c r="A102" s="210" t="str">
        <x:v>六、期末现金及现金等价物</x:v>
      </x:c>
      <x:c r="B102" s="189" t="str">
        <x:f t="shared" ref="B102" si="25">IF(COUNT(B100:B101)=2,B100+B101,"")</x:f>
      </x:c>
      <x:c r="C102" s="189" t="str">
        <x:f>IF(COUNT(C100:C101)=2,C100+C101,"")</x:f>
      </x:c>
      <x:c r="D102" s="189" t="str">
        <x:f>IF(COUNT(D100:D101)=2,D100+D101,"")</x:f>
      </x:c>
      <x:c r="E102" s="189" t="str">
        <x:f>IF(COUNT(E100:E101)=2,E100+E101,"")</x:f>
      </x:c>
      <x:c r="F102" s="63"/>
      <x:c r="G102" s="210" t="str">
        <x:v>六、期末现金及现金等价物</x:v>
      </x:c>
      <x:c r="H102" s="200" t="str">
        <x:f t="shared" ref="H102" si="26">IF(AND(ISNUMBER(B102),ISNUMBER(提示事项!$B$6),提示事项!$B$6&gt;0,提示事项!$B$7&lt;&gt;""),B102/提示事项!$B$6,"")</x:f>
      </x:c>
      <x:c r="I102" s="200" t="str">
        <x:f>IF(AND(ISNUMBER(C102),ISNUMBER(提示事项!$B$6),提示事项!$B$6&gt;0,提示事项!$B$7&lt;&gt;""),C102/提示事项!$B$6,"")</x:f>
      </x:c>
      <x:c r="J102" s="200" t="str">
        <x:f>IF(AND(ISNUMBER(D102),ISNUMBER(提示事项!$B$6),提示事项!$B$6&gt;0,提示事项!$B$7&lt;&gt;""),D102/提示事项!$B$6,"")</x:f>
      </x:c>
      <x:c r="K102" s="200" t="str">
        <x:f>IF(AND(ISNUMBER(E102),ISNUMBER(提示事项!$B$6),提示事项!$B$6&gt;0,提示事项!$B$7&lt;&gt;""),E102/提示事项!$B$6,"")</x:f>
      </x:c>
    </x:row>
    <x:row r="103" ht="22" customHeight="1">
      <x:c r="A103" s="208"/>
      <x:c r="B103" s="190"/>
      <x:c r="C103" s="190"/>
      <x:c r="D103" s="190"/>
      <x:c r="E103" s="190"/>
      <x:c r="F103" s="63"/>
      <x:c r="G103" s="216"/>
      <x:c r="H103" s="190"/>
      <x:c r="I103" s="190"/>
      <x:c r="J103" s="190"/>
      <x:c r="K103" s="190"/>
    </x:row>
    <x:row r="104" ht="26" customHeight="1">
      <x:c r="A104" s="211" t="str">
        <x:v>原币（见顶部金额单位）</x:v>
      </x:c>
      <x:c r="B104" s="191" t="str">
        <x:f>B44</x:f>
        <x:v>期间1</x:v>
      </x:c>
      <x:c r="C104" s="191" t="str">
        <x:f>C44</x:f>
        <x:v>期间2</x:v>
      </x:c>
      <x:c r="D104" s="191" t="str">
        <x:f>D44</x:f>
        <x:v>期间3</x:v>
      </x:c>
      <x:c r="E104" s="191" t="str">
        <x:f>E44</x:f>
        <x:v>期间4</x:v>
      </x:c>
      <x:c r="F104" s="63"/>
      <x:c r="G104" s="217" t="str">
        <x:v>美元（相同金额倍率）</x:v>
      </x:c>
      <x:c r="H104" s="191" t="str">
        <x:f>B44</x:f>
        <x:v>期间1</x:v>
      </x:c>
      <x:c r="I104" s="191" t="str">
        <x:f>C44</x:f>
        <x:v>期间2</x:v>
      </x:c>
      <x:c r="J104" s="191" t="str">
        <x:f>D44</x:f>
        <x:v>期间3</x:v>
      </x:c>
      <x:c r="K104" s="191" t="str">
        <x:f>E44</x:f>
        <x:v>期间4</x:v>
      </x:c>
    </x:row>
    <x:row r="105" ht="22" customHeight="1">
      <x:c r="A105" s="208" t="str">
        <x:v>现金支付CAPEX（披露）</x:v>
      </x:c>
      <x:c r="B105" s="192"/>
      <x:c r="C105" s="192"/>
      <x:c r="D105" s="192"/>
      <x:c r="E105" s="192"/>
      <x:c r="F105" s="63"/>
      <x:c r="G105" s="216" t="str">
        <x:v>现金支付CAPEX（披露）</x:v>
      </x:c>
      <x:c r="H105" s="190" t="str">
        <x:f>IF(AND(ISNUMBER(B105),ISNUMBER(提示事项!$B$6),提示事项!$B$6&gt;0,提示事项!$B$7&lt;&gt;""),B105/提示事项!$B$6,"")</x:f>
      </x:c>
      <x:c r="I105" s="190" t="str">
        <x:f>IF(AND(ISNUMBER(C105),ISNUMBER(提示事项!$B$6),提示事项!$B$6&gt;0,提示事项!$B$7&lt;&gt;""),C105/提示事项!$B$6,"")</x:f>
      </x:c>
      <x:c r="J105" s="190" t="str">
        <x:f>IF(AND(ISNUMBER(D105),ISNUMBER(提示事项!$B$6),提示事项!$B$6&gt;0,提示事项!$B$7&lt;&gt;""),D105/提示事项!$B$6,"")</x:f>
      </x:c>
      <x:c r="K105" s="190" t="str">
        <x:f>IF(AND(ISNUMBER(E105),ISNUMBER(提示事项!$B$6),提示事项!$B$6&gt;0,提示事项!$B$7&lt;&gt;""),E105/提示事项!$B$6,"")</x:f>
      </x:c>
    </x:row>
    <x:row r="106" ht="22" customHeight="1">
      <x:c r="A106" s="208" t="str">
        <x:v>毛利（披露）</x:v>
      </x:c>
      <x:c r="B106" s="192"/>
      <x:c r="C106" s="192"/>
      <x:c r="D106" s="192"/>
      <x:c r="E106" s="192"/>
      <x:c r="F106" s="63"/>
      <x:c r="G106" s="216" t="str">
        <x:v>毛利（披露）</x:v>
      </x:c>
      <x:c r="H106" s="190" t="str">
        <x:f>IF(AND(ISNUMBER(B106),ISNUMBER(提示事项!$B$6),提示事项!$B$6&gt;0,提示事项!$B$7&lt;&gt;""),B106/提示事项!$B$6,"")</x:f>
      </x:c>
      <x:c r="I106" s="190" t="str">
        <x:f>IF(AND(ISNUMBER(C106),ISNUMBER(提示事项!$B$6),提示事项!$B$6&gt;0,提示事项!$B$7&lt;&gt;""),C106/提示事项!$B$6,"")</x:f>
      </x:c>
      <x:c r="J106" s="190" t="str">
        <x:f>IF(AND(ISNUMBER(D106),ISNUMBER(提示事项!$B$6),提示事项!$B$6&gt;0,提示事项!$B$7&lt;&gt;""),D106/提示事项!$B$6,"")</x:f>
      </x:c>
      <x:c r="K106" s="190" t="str">
        <x:f>IF(AND(ISNUMBER(E106),ISNUMBER(提示事项!$B$6),提示事项!$B$6&gt;0,提示事项!$B$7&lt;&gt;""),E106/提示事项!$B$6,"")</x:f>
      </x:c>
    </x:row>
    <x:row r="107" ht="22" customHeight="1">
      <x:c r="A107" s="208" t="str">
        <x:v>净利润（披露）</x:v>
      </x:c>
      <x:c r="B107" s="192"/>
      <x:c r="C107" s="192"/>
      <x:c r="D107" s="192"/>
      <x:c r="E107" s="192"/>
      <x:c r="F107" s="63"/>
      <x:c r="G107" s="216" t="str">
        <x:v>净利润（披露）</x:v>
      </x:c>
      <x:c r="H107" s="190" t="str">
        <x:f>IF(AND(ISNUMBER(B107),ISNUMBER(提示事项!$B$6),提示事项!$B$6&gt;0,提示事项!$B$7&lt;&gt;""),B107/提示事项!$B$6,"")</x:f>
      </x:c>
      <x:c r="I107" s="190" t="str">
        <x:f>IF(AND(ISNUMBER(C107),ISNUMBER(提示事项!$B$6),提示事项!$B$6&gt;0,提示事项!$B$7&lt;&gt;""),C107/提示事项!$B$6,"")</x:f>
      </x:c>
      <x:c r="J107" s="190" t="str">
        <x:f>IF(AND(ISNUMBER(D107),ISNUMBER(提示事项!$B$6),提示事项!$B$6&gt;0,提示事项!$B$7&lt;&gt;""),D107/提示事项!$B$6,"")</x:f>
      </x:c>
      <x:c r="K107" s="190" t="str">
        <x:f>IF(AND(ISNUMBER(E107),ISNUMBER(提示事项!$B$6),提示事项!$B$6&gt;0,提示事项!$B$7&lt;&gt;""),E107/提示事项!$B$6,"")</x:f>
      </x:c>
    </x:row>
    <x:row r="108" ht="22" customHeight="1">
      <x:c r="A108" s="208" t="str">
        <x:v>营业利润（披露）</x:v>
      </x:c>
      <x:c r="B108" s="192"/>
      <x:c r="C108" s="192"/>
      <x:c r="D108" s="192"/>
      <x:c r="E108" s="192"/>
      <x:c r="F108" s="63"/>
      <x:c r="G108" s="216" t="str">
        <x:v>营业利润（披露）</x:v>
      </x:c>
      <x:c r="H108" s="190" t="str">
        <x:f>IF(AND(ISNUMBER(B108),ISNUMBER(提示事项!$B$6),提示事项!$B$6&gt;0,提示事项!$B$7&lt;&gt;""),B108/提示事项!$B$6,"")</x:f>
      </x:c>
      <x:c r="I108" s="190" t="str">
        <x:f>IF(AND(ISNUMBER(C108),ISNUMBER(提示事项!$B$6),提示事项!$B$6&gt;0,提示事项!$B$7&lt;&gt;""),C108/提示事项!$B$6,"")</x:f>
      </x:c>
      <x:c r="J108" s="190" t="str">
        <x:f>IF(AND(ISNUMBER(D108),ISNUMBER(提示事项!$B$6),提示事项!$B$6&gt;0,提示事项!$B$7&lt;&gt;""),D108/提示事项!$B$6,"")</x:f>
      </x:c>
      <x:c r="K108" s="190" t="str">
        <x:f>IF(AND(ISNUMBER(E108),ISNUMBER(提示事项!$B$6),提示事项!$B$6&gt;0,提示事项!$B$7&lt;&gt;""),E108/提示事项!$B$6,"")</x:f>
      </x:c>
    </x:row>
    <x:row r="109" ht="22" customHeight="1">
      <x:c r="A109" s="208" t="str">
        <x:v>EBITDA（披露）</x:v>
      </x:c>
      <x:c r="B109" s="192"/>
      <x:c r="C109" s="192"/>
      <x:c r="D109" s="192"/>
      <x:c r="E109" s="192"/>
      <x:c r="F109" s="63"/>
      <x:c r="G109" s="216" t="str">
        <x:v>EBITDA（披露）</x:v>
      </x:c>
      <x:c r="H109" s="190" t="str">
        <x:f>IF(AND(ISNUMBER(B109),ISNUMBER(提示事项!$B$6),提示事项!$B$6&gt;0,提示事项!$B$7&lt;&gt;""),B109/提示事项!$B$6,"")</x:f>
      </x:c>
      <x:c r="I109" s="190" t="str">
        <x:f>IF(AND(ISNUMBER(C109),ISNUMBER(提示事项!$B$6),提示事项!$B$6&gt;0,提示事项!$B$7&lt;&gt;""),C109/提示事项!$B$6,"")</x:f>
      </x:c>
      <x:c r="J109" s="190" t="str">
        <x:f>IF(AND(ISNUMBER(D109),ISNUMBER(提示事项!$B$6),提示事项!$B$6&gt;0,提示事项!$B$7&lt;&gt;""),D109/提示事项!$B$6,"")</x:f>
      </x:c>
      <x:c r="K109" s="190" t="str">
        <x:f>IF(AND(ISNUMBER(E109),ISNUMBER(提示事项!$B$6),提示事项!$B$6&gt;0,提示事项!$B$7&lt;&gt;""),E109/提示事项!$B$6,"")</x:f>
      </x:c>
    </x:row>
    <x:row r="110" ht="22" customHeight="1">
      <x:c r="A110" s="208" t="str">
        <x:v>固定资产（披露）</x:v>
      </x:c>
      <x:c r="B110" s="192"/>
      <x:c r="C110" s="192"/>
      <x:c r="D110" s="192"/>
      <x:c r="E110" s="192"/>
      <x:c r="F110" s="63"/>
      <x:c r="G110" s="216" t="str">
        <x:v>固定资产（披露）</x:v>
      </x:c>
      <x:c r="H110" s="190" t="str">
        <x:f>IF(AND(ISNUMBER(B110),ISNUMBER(提示事项!$B$6),提示事项!$B$6&gt;0,提示事项!$B$7&lt;&gt;""),B110/提示事项!$B$6,"")</x:f>
      </x:c>
      <x:c r="I110" s="190" t="str">
        <x:f>IF(AND(ISNUMBER(C110),ISNUMBER(提示事项!$B$6),提示事项!$B$6&gt;0,提示事项!$B$7&lt;&gt;""),C110/提示事项!$B$6,"")</x:f>
      </x:c>
      <x:c r="J110" s="190" t="str">
        <x:f>IF(AND(ISNUMBER(D110),ISNUMBER(提示事项!$B$6),提示事项!$B$6&gt;0,提示事项!$B$7&lt;&gt;""),D110/提示事项!$B$6,"")</x:f>
      </x:c>
      <x:c r="K110" s="190" t="str">
        <x:f>IF(AND(ISNUMBER(E110),ISNUMBER(提示事项!$B$6),提示事项!$B$6&gt;0,提示事项!$B$7&lt;&gt;""),E110/提示事项!$B$6,"")</x:f>
      </x:c>
    </x:row>
    <x:row r="111" ht="22" customHeight="1">
      <x:c r="A111" s="208" t="str">
        <x:v>无形资产（披露）</x:v>
      </x:c>
      <x:c r="B111" s="192"/>
      <x:c r="C111" s="192"/>
      <x:c r="D111" s="192"/>
      <x:c r="E111" s="192"/>
      <x:c r="F111" s="63"/>
      <x:c r="G111" s="216" t="str">
        <x:v>无形资产（披露）</x:v>
      </x:c>
      <x:c r="H111" s="190" t="str">
        <x:f>IF(AND(ISNUMBER(B111),ISNUMBER(提示事项!$B$6),提示事项!$B$6&gt;0,提示事项!$B$7&lt;&gt;""),B111/提示事项!$B$6,"")</x:f>
      </x:c>
      <x:c r="I111" s="190" t="str">
        <x:f>IF(AND(ISNUMBER(C111),ISNUMBER(提示事项!$B$6),提示事项!$B$6&gt;0,提示事项!$B$7&lt;&gt;""),C111/提示事项!$B$6,"")</x:f>
      </x:c>
      <x:c r="J111" s="190" t="str">
        <x:f>IF(AND(ISNUMBER(D111),ISNUMBER(提示事项!$B$6),提示事项!$B$6&gt;0,提示事项!$B$7&lt;&gt;""),D111/提示事项!$B$6,"")</x:f>
      </x:c>
      <x:c r="K111" s="190" t="str">
        <x:f>IF(AND(ISNUMBER(E111),ISNUMBER(提示事项!$B$6),提示事项!$B$6&gt;0,提示事项!$B$7&lt;&gt;""),E111/提示事项!$B$6,"")</x:f>
      </x:c>
    </x:row>
    <x:row r="112" ht="22" customHeight="1">
      <x:c r="A112" s="64"/>
      <x:c r="B112" s="64"/>
      <x:c r="C112" s="63"/>
      <x:c r="D112" s="63"/>
      <x:c r="E112" s="63"/>
      <x:c r="F112" s="63"/>
      <x:c r="G112" s="63"/>
      <x:c r="H112" s="64"/>
      <x:c r="I112" s="64"/>
      <x:c r="J112" s="64"/>
      <x:c r="K112" s="64"/>
    </x:row>
  </x:sheetData>
  <x:mergeCells>
    <x:mergeCell ref="A2:E2"/>
    <x:mergeCell ref="A4:E6"/>
    <x:mergeCell ref="A15:E17"/>
    <x:mergeCell ref="A26:E27"/>
    <x:mergeCell ref="A35:E37"/>
    <x:mergeCell ref="A40:E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8.78515625" defaultRowHeight="14.149999618530273"/>
  <x:cols>
    <x:col min="1" max="1" width="32" hidden="0" customWidth="1"/>
    <x:col min="2" max="2" width="27" style="1" hidden="0" customWidth="1"/>
    <x:col min="3" max="3" width="27" style="1" hidden="0" customWidth="1"/>
    <x:col min="4" max="4" width="27" style="1" hidden="0" customWidth="1"/>
    <x:col min="5" max="6" width="15.140625" style="1" customWidth="1"/>
  </x:cols>
  <x:sheetData>
    <x:row r="1" ht="26" customHeight="1">
      <x:c r="A1" s="230" t="str">
        <x:v>一、核心业务与客户结构</x:v>
      </x:c>
      <x:c r="B1" s="231"/>
      <x:c r="C1" s="231"/>
      <x:c r="D1" s="231"/>
      <x:c r="E1" s="110"/>
      <x:c r="F1" s="110"/>
      <x:c r="G1" s="73"/>
      <x:c r="H1" s="73"/>
      <x:c r="I1" s="73"/>
      <x:c r="J1" s="73"/>
      <x:c r="K1" s="73"/>
    </x:row>
    <x:row r="2" ht="22" customHeight="1">
      <x:c r="A2" s="241"/>
      <x:c r="B2" s="242"/>
      <x:c r="C2" s="242"/>
      <x:c r="D2" s="242"/>
      <x:c r="E2" s="110"/>
      <x:c r="F2" s="110"/>
      <x:c r="G2" s="73"/>
      <x:c r="H2" s="73"/>
      <x:c r="I2" s="73"/>
      <x:c r="J2" s="73"/>
      <x:c r="K2" s="73"/>
    </x:row>
    <x:row r="3" ht="22" customHeight="1">
      <x:c r="A3" s="243"/>
      <x:c r="B3" s="242"/>
      <x:c r="C3" s="242"/>
      <x:c r="D3" s="242"/>
      <x:c r="E3" s="110"/>
      <x:c r="F3" s="110"/>
      <x:c r="G3" s="73"/>
      <x:c r="H3" s="73"/>
      <x:c r="I3" s="73"/>
      <x:c r="J3" s="73"/>
      <x:c r="K3" s="73"/>
    </x:row>
    <x:row r="4" ht="22" customHeight="1">
      <x:c r="A4" s="243"/>
      <x:c r="B4" s="242"/>
      <x:c r="C4" s="242"/>
      <x:c r="D4" s="242"/>
      <x:c r="E4" s="110"/>
      <x:c r="F4" s="110"/>
      <x:c r="G4" s="73"/>
      <x:c r="H4" s="73"/>
      <x:c r="I4" s="73"/>
      <x:c r="J4" s="73"/>
      <x:c r="K4" s="73"/>
    </x:row>
    <x:row r="5" ht="22" customHeight="1">
      <x:c r="A5" s="243"/>
      <x:c r="B5" s="242"/>
      <x:c r="C5" s="242"/>
      <x:c r="D5" s="242"/>
      <x:c r="E5" s="110"/>
      <x:c r="F5" s="110"/>
      <x:c r="G5" s="73"/>
      <x:c r="H5" s="73"/>
      <x:c r="I5" s="73"/>
      <x:c r="J5" s="73"/>
      <x:c r="K5" s="73"/>
    </x:row>
    <x:row r="6" ht="22" customHeight="1">
      <x:c r="A6" s="111"/>
      <x:c r="B6" s="110"/>
      <x:c r="C6" s="110"/>
      <x:c r="D6" s="110"/>
      <x:c r="E6" s="110"/>
      <x:c r="F6" s="110"/>
      <x:c r="G6" s="73"/>
      <x:c r="H6" s="73"/>
      <x:c r="I6" s="73"/>
      <x:c r="J6" s="73"/>
      <x:c r="K6" s="73"/>
    </x:row>
    <x:row r="7" ht="26" customHeight="1">
      <x:c r="A7" s="230" t="str">
        <x:v>二、分部表现与经营驱动</x:v>
      </x:c>
      <x:c r="B7" s="231"/>
      <x:c r="C7" s="231"/>
      <x:c r="D7" s="231"/>
      <x:c r="E7" s="110"/>
      <x:c r="F7" s="110"/>
      <x:c r="G7" s="73"/>
      <x:c r="H7" s="73"/>
      <x:c r="I7" s="73"/>
      <x:c r="J7" s="73"/>
      <x:c r="K7" s="73"/>
    </x:row>
    <x:row r="8" ht="22" customHeight="1">
      <x:c r="A8" s="113"/>
      <x:c r="B8" s="110"/>
      <x:c r="C8" s="110"/>
      <x:c r="D8" s="110"/>
      <x:c r="E8" s="110"/>
      <x:c r="F8" s="110"/>
      <x:c r="G8" s="73"/>
      <x:c r="H8" s="73"/>
      <x:c r="I8" s="73"/>
      <x:c r="J8" s="73"/>
      <x:c r="K8" s="73"/>
    </x:row>
    <x:row r="9" ht="26" customHeight="1">
      <x:c r="A9" s="253" t="str">
        <x:v>板块/指标</x:v>
      </x:c>
      <x:c r="B9" s="253" t="str">
        <x:v>已披露事实</x:v>
      </x:c>
      <x:c r="C9" s="253" t="str">
        <x:v>变化及可能原因</x:v>
      </x:c>
      <x:c r="D9" s="254" t="str">
        <x:v>来源位置</x:v>
      </x:c>
      <x:c r="E9" s="110"/>
      <x:c r="F9" s="110"/>
      <x:c r="G9" s="73"/>
      <x:c r="H9" s="73"/>
      <x:c r="I9" s="73"/>
      <x:c r="J9" s="73"/>
      <x:c r="K9" s="73"/>
    </x:row>
    <x:row r="10" ht="22" customHeight="1">
      <x:c r="A10" s="255"/>
      <x:c r="B10" s="256"/>
      <x:c r="C10" s="256"/>
      <x:c r="D10" s="257"/>
      <x:c r="E10" s="110"/>
      <x:c r="F10" s="110"/>
      <x:c r="G10" s="73"/>
      <x:c r="H10" s="73"/>
      <x:c r="I10" s="73"/>
      <x:c r="J10" s="73"/>
      <x:c r="K10" s="73"/>
    </x:row>
    <x:row r="11" ht="22" customHeight="1">
      <x:c r="A11" s="255"/>
      <x:c r="B11" s="256"/>
      <x:c r="C11" s="256"/>
      <x:c r="D11" s="257"/>
      <x:c r="E11" s="110"/>
      <x:c r="F11" s="110"/>
      <x:c r="G11" s="73"/>
      <x:c r="H11" s="73"/>
      <x:c r="I11" s="73"/>
      <x:c r="J11" s="73"/>
      <x:c r="K11" s="73"/>
    </x:row>
    <x:row r="12" ht="22" customHeight="1">
      <x:c r="A12" s="255"/>
      <x:c r="B12" s="256"/>
      <x:c r="C12" s="256"/>
      <x:c r="D12" s="258"/>
      <x:c r="E12" s="110"/>
      <x:c r="F12" s="110"/>
      <x:c r="G12" s="73"/>
      <x:c r="H12" s="73"/>
      <x:c r="I12" s="73"/>
      <x:c r="J12" s="73"/>
      <x:c r="K12" s="73"/>
    </x:row>
    <x:row r="13" ht="22" customHeight="1">
      <x:c r="A13" s="255"/>
      <x:c r="B13" s="256"/>
      <x:c r="C13" s="256"/>
      <x:c r="D13" s="258"/>
      <x:c r="E13" s="110"/>
      <x:c r="F13" s="110"/>
      <x:c r="G13" s="73"/>
      <x:c r="H13" s="73"/>
      <x:c r="I13" s="73"/>
      <x:c r="J13" s="73"/>
      <x:c r="K13" s="73"/>
    </x:row>
    <x:row r="14" ht="22" customHeight="1">
      <x:c r="A14" s="117"/>
      <x:c r="B14" s="111"/>
      <x:c r="C14" s="111"/>
      <x:c r="D14" s="116"/>
      <x:c r="E14" s="110"/>
      <x:c r="F14" s="110"/>
      <x:c r="G14" s="73"/>
      <x:c r="H14" s="73"/>
      <x:c r="I14" s="73"/>
      <x:c r="J14" s="73"/>
      <x:c r="K14" s="73"/>
    </x:row>
    <x:row r="15" ht="26" customHeight="1">
      <x:c r="A15" s="230" t="str">
        <x:v>三、资金需求与资本投入</x:v>
      </x:c>
      <x:c r="B15" s="231"/>
      <x:c r="C15" s="231"/>
      <x:c r="D15" s="231"/>
      <x:c r="E15" s="110"/>
      <x:c r="F15" s="110"/>
      <x:c r="G15" s="73"/>
      <x:c r="H15" s="73"/>
      <x:c r="I15" s="73"/>
      <x:c r="J15" s="73"/>
      <x:c r="K15" s="73"/>
    </x:row>
    <x:row r="16" ht="22" customHeight="1">
      <x:c r="A16" s="249"/>
      <x:c r="B16" s="249"/>
      <x:c r="C16" s="249"/>
      <x:c r="D16" s="242"/>
      <x:c r="E16" s="110"/>
      <x:c r="F16" s="110"/>
      <x:c r="G16" s="73"/>
      <x:c r="H16" s="73"/>
      <x:c r="I16" s="73"/>
      <x:c r="J16" s="73"/>
      <x:c r="K16" s="73"/>
    </x:row>
    <x:row r="17" ht="22" customHeight="1">
      <x:c r="A17" s="249"/>
      <x:c r="B17" s="250"/>
      <x:c r="C17" s="250"/>
      <x:c r="D17" s="242"/>
      <x:c r="E17" s="110"/>
      <x:c r="F17" s="110"/>
      <x:c r="G17" s="73"/>
      <x:c r="H17" s="73"/>
      <x:c r="I17" s="73"/>
      <x:c r="J17" s="73"/>
      <x:c r="K17" s="73"/>
    </x:row>
    <x:row r="18" ht="22" customHeight="1">
      <x:c r="A18" s="249"/>
      <x:c r="B18" s="250"/>
      <x:c r="C18" s="250"/>
      <x:c r="D18" s="242"/>
      <x:c r="E18" s="110"/>
      <x:c r="F18" s="110"/>
      <x:c r="G18" s="73"/>
      <x:c r="H18" s="73"/>
      <x:c r="I18" s="73"/>
      <x:c r="J18" s="73"/>
      <x:c r="K18" s="73"/>
    </x:row>
    <x:row r="19" ht="22" customHeight="1">
      <x:c r="A19" s="249"/>
      <x:c r="B19" s="250"/>
      <x:c r="C19" s="250"/>
      <x:c r="D19" s="141"/>
      <x:c r="E19" s="110"/>
      <x:c r="F19" s="110"/>
      <x:c r="G19" s="73"/>
      <x:c r="H19" s="73"/>
      <x:c r="I19" s="73"/>
      <x:c r="J19" s="73"/>
      <x:c r="K19" s="73"/>
    </x:row>
    <x:row r="20" ht="22" customHeight="1">
      <x:c r="A20" s="249"/>
      <x:c r="B20" s="250"/>
      <x:c r="C20" s="250"/>
      <x:c r="D20" s="141"/>
      <x:c r="E20" s="110"/>
      <x:c r="F20" s="110"/>
      <x:c r="G20" s="73"/>
      <x:c r="H20" s="73"/>
      <x:c r="I20" s="73"/>
      <x:c r="J20" s="73"/>
      <x:c r="K20" s="73"/>
    </x:row>
    <x:row r="21" ht="22" customHeight="1">
      <x:c r="A21" s="117"/>
      <x:c r="B21" s="111"/>
      <x:c r="C21" s="111"/>
      <x:c r="D21" s="116"/>
      <x:c r="E21" s="110"/>
      <x:c r="F21" s="110"/>
      <x:c r="G21" s="73"/>
      <x:c r="H21" s="73"/>
      <x:c r="I21" s="73"/>
      <x:c r="J21" s="73"/>
      <x:c r="K21" s="73"/>
    </x:row>
    <x:row r="22" ht="26" customHeight="1">
      <x:c r="A22" s="230" t="str">
        <x:v>四、关联方与股权支持</x:v>
      </x:c>
      <x:c r="B22" s="231"/>
      <x:c r="C22" s="231"/>
      <x:c r="D22" s="231"/>
      <x:c r="E22" s="110"/>
      <x:c r="F22" s="110"/>
      <x:c r="G22" s="73"/>
      <x:c r="H22" s="73"/>
      <x:c r="I22" s="73"/>
      <x:c r="J22" s="73"/>
      <x:c r="K22" s="73"/>
    </x:row>
    <x:row r="23" ht="22" customHeight="1">
      <x:c r="A23" s="249"/>
      <x:c r="B23" s="249"/>
      <x:c r="C23" s="249"/>
      <x:c r="D23" s="242"/>
      <x:c r="E23" s="110"/>
      <x:c r="F23" s="110"/>
      <x:c r="G23" s="73"/>
      <x:c r="H23" s="73"/>
      <x:c r="I23" s="73"/>
      <x:c r="J23" s="73"/>
      <x:c r="K23" s="73"/>
    </x:row>
    <x:row r="24" ht="22" customHeight="1">
      <x:c r="A24" s="249"/>
      <x:c r="B24" s="250"/>
      <x:c r="C24" s="250"/>
      <x:c r="D24" s="242"/>
      <x:c r="E24" s="110"/>
      <x:c r="F24" s="110"/>
      <x:c r="G24" s="73"/>
      <x:c r="H24" s="73"/>
      <x:c r="I24" s="73"/>
      <x:c r="J24" s="73"/>
      <x:c r="K24" s="73"/>
    </x:row>
    <x:row r="25" ht="22" customHeight="1">
      <x:c r="A25" s="249"/>
      <x:c r="B25" s="250"/>
      <x:c r="C25" s="250"/>
      <x:c r="D25" s="242"/>
      <x:c r="E25" s="110"/>
      <x:c r="F25" s="110"/>
      <x:c r="G25" s="73"/>
      <x:c r="H25" s="73"/>
      <x:c r="I25" s="73"/>
      <x:c r="J25" s="73"/>
      <x:c r="K25" s="73"/>
    </x:row>
    <x:row r="26" ht="22" customHeight="1">
      <x:c r="A26" s="249"/>
      <x:c r="B26" s="250"/>
      <x:c r="C26" s="250"/>
      <x:c r="D26" s="242"/>
      <x:c r="E26" s="110"/>
      <x:c r="F26" s="110"/>
      <x:c r="G26" s="73"/>
      <x:c r="H26" s="73"/>
      <x:c r="I26" s="73"/>
      <x:c r="J26" s="73"/>
      <x:c r="K26" s="73"/>
    </x:row>
    <x:row r="27" ht="22" customHeight="1">
      <x:c r="A27" s="118"/>
      <x:c r="B27" s="110"/>
      <x:c r="C27" s="110"/>
      <x:c r="D27" s="110"/>
      <x:c r="E27" s="110"/>
      <x:c r="F27" s="110"/>
      <x:c r="G27" s="73"/>
      <x:c r="H27" s="73"/>
      <x:c r="I27" s="73"/>
      <x:c r="J27" s="73"/>
      <x:c r="K27" s="73"/>
    </x:row>
    <x:row r="28" ht="26" customHeight="1">
      <x:c r="A28" s="230" t="str">
        <x:v>五、回款风险与待验证事项</x:v>
      </x:c>
      <x:c r="B28" s="231"/>
      <x:c r="C28" s="231"/>
      <x:c r="D28" s="231"/>
      <x:c r="E28" s="110"/>
      <x:c r="F28" s="110"/>
      <x:c r="G28" s="73"/>
      <x:c r="H28" s="73"/>
      <x:c r="I28" s="73"/>
      <x:c r="J28" s="73"/>
      <x:c r="K28" s="73"/>
    </x:row>
    <x:row r="29" ht="22" customHeight="1">
      <x:c r="A29" s="243"/>
      <x:c r="B29" s="242"/>
      <x:c r="C29" s="242"/>
      <x:c r="D29" s="242"/>
      <x:c r="E29" s="110"/>
      <x:c r="F29" s="110"/>
      <x:c r="G29" s="73"/>
      <x:c r="H29" s="73"/>
      <x:c r="I29" s="73"/>
      <x:c r="J29" s="73"/>
      <x:c r="K29" s="73"/>
    </x:row>
    <x:row r="30" ht="22" customHeight="1">
      <x:c r="A30" s="243"/>
      <x:c r="B30" s="242"/>
      <x:c r="C30" s="242"/>
      <x:c r="D30" s="242"/>
      <x:c r="E30" s="110"/>
      <x:c r="F30" s="110"/>
      <x:c r="G30" s="73"/>
      <x:c r="H30" s="73"/>
      <x:c r="I30" s="73"/>
      <x:c r="J30" s="73"/>
      <x:c r="K30" s="73"/>
    </x:row>
    <x:row r="31" ht="22" customHeight="1">
      <x:c r="A31" s="243"/>
      <x:c r="B31" s="242"/>
      <x:c r="C31" s="242"/>
      <x:c r="D31" s="242"/>
      <x:c r="E31" s="110"/>
      <x:c r="F31" s="110"/>
      <x:c r="G31" s="73"/>
      <x:c r="H31" s="73"/>
      <x:c r="I31" s="73"/>
      <x:c r="J31" s="73"/>
      <x:c r="K31" s="73"/>
    </x:row>
    <x:row r="32" ht="22" customHeight="1">
      <x:c r="A32" s="243"/>
      <x:c r="B32" s="242"/>
      <x:c r="C32" s="242"/>
      <x:c r="D32" s="242"/>
      <x:c r="E32" s="110"/>
      <x:c r="F32" s="110"/>
      <x:c r="G32" s="73"/>
      <x:c r="H32" s="73"/>
      <x:c r="I32" s="73"/>
      <x:c r="J32" s="73"/>
      <x:c r="K32" s="73"/>
    </x:row>
    <x:row r="33" ht="22" customHeight="1">
      <x:c r="A33" s="73"/>
      <x:c r="B33" s="110"/>
      <x:c r="C33" s="110"/>
      <x:c r="D33" s="110"/>
      <x:c r="E33" s="110"/>
      <x:c r="F33" s="110"/>
      <x:c r="G33" s="73"/>
      <x:c r="H33" s="73"/>
      <x:c r="I33" s="73"/>
      <x:c r="J33" s="73"/>
      <x:c r="K33" s="73"/>
    </x:row>
    <x:row r="34" ht="26" customHeight="1">
      <x:c r="A34" s="230" t="str">
        <x:v>六、账期与敞口管理建议</x:v>
      </x:c>
      <x:c r="B34" s="231"/>
      <x:c r="C34" s="231"/>
      <x:c r="D34" s="231"/>
      <x:c r="E34" s="110"/>
      <x:c r="F34" s="110"/>
      <x:c r="G34" s="73"/>
      <x:c r="H34" s="73"/>
      <x:c r="I34" s="73"/>
      <x:c r="J34" s="73"/>
      <x:c r="K34" s="73"/>
    </x:row>
    <x:row r="35" ht="22" customHeight="1">
      <x:c r="A35" s="243"/>
      <x:c r="B35" s="242"/>
      <x:c r="C35" s="242"/>
      <x:c r="D35" s="242"/>
      <x:c r="E35" s="110"/>
      <x:c r="F35" s="110"/>
      <x:c r="G35" s="73"/>
      <x:c r="H35" s="73"/>
      <x:c r="I35" s="73"/>
      <x:c r="J35" s="73"/>
      <x:c r="K35" s="73"/>
    </x:row>
    <x:row r="36" ht="22" customHeight="1">
      <x:c r="A36" s="243"/>
      <x:c r="B36" s="242"/>
      <x:c r="C36" s="242"/>
      <x:c r="D36" s="242"/>
      <x:c r="E36" s="110"/>
      <x:c r="F36" s="110"/>
      <x:c r="G36" s="73"/>
      <x:c r="H36" s="73"/>
      <x:c r="I36" s="73"/>
      <x:c r="J36" s="73"/>
      <x:c r="K36" s="73"/>
    </x:row>
    <x:row r="37" ht="22" customHeight="1">
      <x:c r="A37" s="243"/>
      <x:c r="B37" s="242"/>
      <x:c r="C37" s="242"/>
      <x:c r="D37" s="242"/>
      <x:c r="E37" s="110"/>
      <x:c r="F37" s="110"/>
      <x:c r="G37" s="73"/>
      <x:c r="H37" s="73"/>
      <x:c r="I37" s="73"/>
      <x:c r="J37" s="73"/>
      <x:c r="K37" s="73"/>
    </x:row>
    <x:row r="38" ht="22" customHeight="1">
      <x:c r="A38" s="243"/>
      <x:c r="B38" s="242"/>
      <x:c r="C38" s="242"/>
      <x:c r="D38" s="242"/>
      <x:c r="E38" s="110"/>
      <x:c r="F38" s="110"/>
      <x:c r="G38" s="73"/>
      <x:c r="H38" s="73"/>
      <x:c r="I38" s="73"/>
      <x:c r="J38" s="73"/>
      <x:c r="K38" s="73"/>
    </x:row>
    <x:row r="39" ht="22" customHeight="1">
      <x:c r="A39" s="243"/>
      <x:c r="B39" s="242"/>
      <x:c r="C39" s="242"/>
      <x:c r="D39" s="242"/>
      <x:c r="E39" s="110"/>
      <x:c r="F39" s="110"/>
      <x:c r="G39" s="73"/>
      <x:c r="H39" s="73"/>
      <x:c r="I39" s="73"/>
      <x:c r="J39" s="73"/>
      <x:c r="K39" s="73"/>
    </x:row>
    <x:row r="40" ht="22" customHeight="1">
      <x:c r="A40" s="73"/>
      <x:c r="B40" s="110"/>
      <x:c r="C40" s="110"/>
      <x:c r="D40" s="110"/>
      <x:c r="E40" s="110"/>
      <x:c r="F40" s="110"/>
      <x:c r="G40" s="73"/>
      <x:c r="H40" s="73"/>
      <x:c r="I40" s="73"/>
      <x:c r="J40" s="73"/>
      <x:c r="K40" s="73"/>
    </x:row>
    <x:row r="41" ht="26" customHeight="1">
      <x:c r="A41" s="234" t="str">
        <x:v>补充：重要附注及来源</x:v>
      </x:c>
      <x:c r="B41" s="231"/>
      <x:c r="C41" s="231"/>
      <x:c r="D41" s="231"/>
      <x:c r="E41" s="110"/>
      <x:c r="F41" s="110"/>
      <x:c r="G41" s="73"/>
      <x:c r="H41" s="73"/>
      <x:c r="I41" s="73"/>
      <x:c r="J41" s="73"/>
      <x:c r="K41" s="73"/>
    </x:row>
    <x:row r="42" ht="22" customHeight="1">
      <x:c r="A42" s="141"/>
      <x:c r="B42" s="242"/>
      <x:c r="C42" s="242"/>
      <x:c r="D42" s="242"/>
      <x:c r="E42" s="110"/>
      <x:c r="F42" s="110"/>
      <x:c r="G42" s="73"/>
      <x:c r="H42" s="73"/>
      <x:c r="I42" s="73"/>
      <x:c r="J42" s="73"/>
      <x:c r="K42" s="73"/>
    </x:row>
    <x:row r="43" ht="22" customHeight="1">
      <x:c r="A43" s="141"/>
      <x:c r="B43" s="242"/>
      <x:c r="C43" s="242"/>
      <x:c r="D43" s="242"/>
      <x:c r="E43" s="110"/>
      <x:c r="F43" s="110"/>
      <x:c r="G43" s="73"/>
      <x:c r="H43" s="73"/>
      <x:c r="I43" s="73"/>
      <x:c r="J43" s="73"/>
      <x:c r="K43" s="73"/>
    </x:row>
    <x:row r="44" ht="22" customHeight="1">
      <x:c r="A44" s="141"/>
      <x:c r="B44" s="242"/>
      <x:c r="C44" s="242"/>
      <x:c r="D44" s="242"/>
      <x:c r="E44" s="110"/>
      <x:c r="F44" s="110"/>
      <x:c r="G44" s="73"/>
      <x:c r="H44" s="73"/>
      <x:c r="I44" s="73"/>
      <x:c r="J44" s="73"/>
      <x:c r="K44" s="73"/>
    </x:row>
    <x:row r="45" ht="22" customHeight="1">
      <x:c r="A45" s="141"/>
      <x:c r="B45" s="242"/>
      <x:c r="C45" s="242"/>
      <x:c r="D45" s="242"/>
      <x:c r="E45" s="110"/>
      <x:c r="F45" s="110"/>
      <x:c r="G45" s="73"/>
      <x:c r="H45" s="73"/>
      <x:c r="I45" s="73"/>
      <x:c r="J45" s="73"/>
      <x:c r="K45" s="73"/>
    </x:row>
    <x:row r="46" ht="22" customHeight="1">
      <x:c r="A46" s="73"/>
      <x:c r="B46" s="110"/>
      <x:c r="C46" s="110"/>
      <x:c r="D46" s="110"/>
      <x:c r="E46" s="110"/>
      <x:c r="F46" s="110"/>
      <x:c r="G46" s="73"/>
      <x:c r="H46" s="73"/>
      <x:c r="I46" s="73"/>
      <x:c r="J46" s="73"/>
      <x:c r="K46" s="73"/>
    </x:row>
    <x:row r="47" ht="22" customHeight="1">
      <x:c r="A47" s="73"/>
      <x:c r="B47" s="110"/>
      <x:c r="C47" s="110"/>
      <x:c r="D47" s="110"/>
      <x:c r="E47" s="110"/>
      <x:c r="F47" s="110"/>
      <x:c r="G47" s="73"/>
      <x:c r="H47" s="73"/>
      <x:c r="I47" s="73"/>
      <x:c r="J47" s="73"/>
      <x:c r="K47" s="73"/>
    </x:row>
    <x:row r="48" ht="22" customHeight="1">
      <x:c r="A48" s="73"/>
      <x:c r="B48" s="110"/>
      <x:c r="C48" s="110"/>
      <x:c r="D48" s="110"/>
      <x:c r="E48" s="110"/>
      <x:c r="F48" s="110"/>
      <x:c r="G48" s="73"/>
      <x:c r="H48" s="73"/>
      <x:c r="I48" s="73"/>
      <x:c r="J48" s="73"/>
      <x:c r="K48" s="73"/>
    </x:row>
    <x:row r="49" ht="22" customHeight="1">
      <x:c r="A49" s="73"/>
      <x:c r="B49" s="110"/>
      <x:c r="C49" s="110"/>
      <x:c r="D49" s="110"/>
      <x:c r="E49" s="110"/>
      <x:c r="F49" s="110"/>
      <x:c r="G49" s="73"/>
      <x:c r="H49" s="73"/>
      <x:c r="I49" s="73"/>
      <x:c r="J49" s="73"/>
      <x:c r="K49" s="73"/>
    </x:row>
    <x:row r="50" ht="22" customHeight="1">
      <x:c r="A50" s="73"/>
      <x:c r="B50" s="110"/>
      <x:c r="C50" s="110"/>
      <x:c r="D50" s="110"/>
      <x:c r="E50" s="110"/>
      <x:c r="F50" s="110"/>
      <x:c r="G50" s="73"/>
      <x:c r="H50" s="73"/>
      <x:c r="I50" s="73"/>
      <x:c r="J50" s="73"/>
      <x:c r="K50" s="73"/>
    </x:row>
    <x:row r="51" ht="22" customHeight="1">
      <x:c r="A51" s="73"/>
      <x:c r="B51" s="110"/>
      <x:c r="C51" s="110"/>
      <x:c r="D51" s="110"/>
      <x:c r="E51" s="110"/>
      <x:c r="F51" s="110"/>
      <x:c r="G51" s="73"/>
      <x:c r="H51" s="73"/>
      <x:c r="I51" s="73"/>
      <x:c r="J51" s="73"/>
      <x:c r="K51" s="73"/>
    </x:row>
    <x:row r="52" ht="22" customHeight="1">
      <x:c r="A52" s="73"/>
      <x:c r="B52" s="110"/>
      <x:c r="C52" s="110"/>
      <x:c r="D52" s="110"/>
      <x:c r="E52" s="110"/>
      <x:c r="F52" s="110"/>
      <x:c r="G52" s="73"/>
      <x:c r="H52" s="73"/>
      <x:c r="I52" s="73"/>
      <x:c r="J52" s="73"/>
      <x:c r="K52" s="73"/>
    </x:row>
    <x:row r="53" ht="22" customHeight="1">
      <x:c r="A53" s="73"/>
      <x:c r="B53" s="110"/>
      <x:c r="C53" s="110"/>
      <x:c r="D53" s="110"/>
      <x:c r="E53" s="110"/>
      <x:c r="F53" s="110"/>
      <x:c r="G53" s="73"/>
      <x:c r="H53" s="73"/>
      <x:c r="I53" s="73"/>
      <x:c r="J53" s="73"/>
      <x:c r="K53" s="73"/>
    </x:row>
    <x:row r="54" ht="22" customHeight="1">
      <x:c r="A54" s="73"/>
      <x:c r="B54" s="110"/>
      <x:c r="C54" s="110"/>
      <x:c r="D54" s="110"/>
      <x:c r="E54" s="110"/>
      <x:c r="F54" s="110"/>
      <x:c r="G54" s="73"/>
      <x:c r="H54" s="73"/>
      <x:c r="I54" s="73"/>
      <x:c r="J54" s="73"/>
      <x:c r="K54" s="73"/>
    </x:row>
    <x:row r="55" ht="22" customHeight="1">
      <x:c r="A55" s="73"/>
      <x:c r="B55" s="110"/>
      <x:c r="C55" s="110"/>
      <x:c r="D55" s="110"/>
      <x:c r="E55" s="110"/>
      <x:c r="F55" s="110"/>
      <x:c r="G55" s="73"/>
      <x:c r="H55" s="73"/>
      <x:c r="I55" s="73"/>
      <x:c r="J55" s="73"/>
      <x:c r="K55" s="73"/>
    </x:row>
    <x:row r="56" ht="22" customHeight="1">
      <x:c r="A56" s="73"/>
      <x:c r="B56" s="110"/>
      <x:c r="C56" s="110"/>
      <x:c r="D56" s="110"/>
      <x:c r="E56" s="110"/>
      <x:c r="F56" s="110"/>
      <x:c r="G56" s="73"/>
      <x:c r="H56" s="73"/>
      <x:c r="I56" s="73"/>
      <x:c r="J56" s="73"/>
      <x:c r="K56" s="73"/>
    </x:row>
    <x:row r="57" ht="22" customHeight="1">
      <x:c r="A57" s="73"/>
      <x:c r="B57" s="110"/>
      <x:c r="C57" s="110"/>
      <x:c r="D57" s="110"/>
      <x:c r="E57" s="110"/>
      <x:c r="F57" s="110"/>
      <x:c r="G57" s="73"/>
      <x:c r="H57" s="73"/>
      <x:c r="I57" s="73"/>
      <x:c r="J57" s="73"/>
      <x:c r="K57" s="73"/>
    </x:row>
    <x:row r="58" ht="22" customHeight="1">
      <x:c r="A58" s="73"/>
      <x:c r="B58" s="110"/>
      <x:c r="C58" s="110"/>
      <x:c r="D58" s="110"/>
      <x:c r="E58" s="110"/>
      <x:c r="F58" s="110"/>
      <x:c r="G58" s="73"/>
      <x:c r="H58" s="73"/>
      <x:c r="I58" s="73"/>
      <x:c r="J58" s="73"/>
      <x:c r="K58" s="73"/>
    </x:row>
    <x:row r="59" ht="22" customHeight="1">
      <x:c r="A59" s="73"/>
      <x:c r="B59" s="110"/>
      <x:c r="C59" s="110"/>
      <x:c r="D59" s="110"/>
      <x:c r="E59" s="110"/>
      <x:c r="F59" s="110"/>
      <x:c r="G59" s="73"/>
      <x:c r="H59" s="73"/>
      <x:c r="I59" s="73"/>
      <x:c r="J59" s="73"/>
      <x:c r="K59" s="73"/>
    </x:row>
    <x:row r="60" ht="22" customHeight="1">
      <x:c r="A60" s="73"/>
      <x:c r="B60" s="110"/>
      <x:c r="C60" s="110"/>
      <x:c r="D60" s="110"/>
      <x:c r="E60" s="110"/>
      <x:c r="F60" s="110"/>
      <x:c r="G60" s="73"/>
      <x:c r="H60" s="73"/>
      <x:c r="I60" s="73"/>
      <x:c r="J60" s="73"/>
      <x:c r="K60" s="73"/>
    </x:row>
    <x:row r="61" ht="22" customHeight="1">
      <x:c r="A61" s="73"/>
      <x:c r="B61" s="110"/>
      <x:c r="C61" s="110"/>
      <x:c r="D61" s="110"/>
      <x:c r="E61" s="110"/>
      <x:c r="F61" s="110"/>
      <x:c r="G61" s="73"/>
      <x:c r="H61" s="73"/>
      <x:c r="I61" s="73"/>
      <x:c r="J61" s="73"/>
      <x:c r="K61" s="73"/>
    </x:row>
    <x:row r="62" ht="22" customHeight="1">
      <x:c r="A62" s="73"/>
      <x:c r="B62" s="110"/>
      <x:c r="C62" s="110"/>
      <x:c r="D62" s="110"/>
      <x:c r="E62" s="110"/>
      <x:c r="F62" s="110"/>
      <x:c r="G62" s="73"/>
      <x:c r="H62" s="73"/>
      <x:c r="I62" s="73"/>
      <x:c r="J62" s="73"/>
      <x:c r="K62" s="73"/>
    </x:row>
    <x:row r="63" ht="22" customHeight="1">
      <x:c r="A63" s="73"/>
      <x:c r="B63" s="110"/>
      <x:c r="C63" s="110"/>
      <x:c r="D63" s="110"/>
      <x:c r="E63" s="110"/>
      <x:c r="F63" s="110"/>
      <x:c r="G63" s="73"/>
      <x:c r="H63" s="73"/>
      <x:c r="I63" s="73"/>
      <x:c r="J63" s="73"/>
      <x:c r="K63" s="73"/>
    </x:row>
    <x:row r="64" ht="22" customHeight="1">
      <x:c r="A64" s="73"/>
      <x:c r="B64" s="110"/>
      <x:c r="C64" s="110"/>
      <x:c r="D64" s="110"/>
      <x:c r="E64" s="110"/>
      <x:c r="F64" s="110"/>
      <x:c r="G64" s="73"/>
      <x:c r="H64" s="73"/>
      <x:c r="I64" s="73"/>
      <x:c r="J64" s="73"/>
      <x:c r="K64" s="73"/>
    </x:row>
    <x:row r="65" ht="22" customHeight="1">
      <x:c r="A65" s="73"/>
      <x:c r="B65" s="110"/>
      <x:c r="C65" s="110"/>
      <x:c r="D65" s="110"/>
      <x:c r="E65" s="110"/>
      <x:c r="F65" s="110"/>
      <x:c r="G65" s="73"/>
      <x:c r="H65" s="73"/>
      <x:c r="I65" s="73"/>
      <x:c r="J65" s="73"/>
      <x:c r="K65" s="73"/>
    </x:row>
    <x:row r="66" ht="22" customHeight="1">
      <x:c r="A66" s="73"/>
      <x:c r="B66" s="110"/>
      <x:c r="C66" s="110"/>
      <x:c r="D66" s="110"/>
      <x:c r="E66" s="110"/>
      <x:c r="F66" s="110"/>
      <x:c r="G66" s="73"/>
      <x:c r="H66" s="73"/>
      <x:c r="I66" s="73"/>
      <x:c r="J66" s="73"/>
      <x:c r="K66" s="73"/>
    </x:row>
    <x:row r="67" ht="22" customHeight="1">
      <x:c r="A67" s="73"/>
      <x:c r="B67" s="110"/>
      <x:c r="C67" s="110"/>
      <x:c r="D67" s="110"/>
      <x:c r="E67" s="110"/>
      <x:c r="F67" s="110"/>
      <x:c r="G67" s="73"/>
      <x:c r="H67" s="73"/>
      <x:c r="I67" s="73"/>
      <x:c r="J67" s="73"/>
      <x:c r="K67" s="73"/>
    </x:row>
    <x:row r="68" ht="22" customHeight="1">
      <x:c r="A68" s="73"/>
      <x:c r="B68" s="110"/>
      <x:c r="C68" s="110"/>
      <x:c r="D68" s="110"/>
      <x:c r="E68" s="110"/>
      <x:c r="F68" s="110"/>
      <x:c r="G68" s="73"/>
      <x:c r="H68" s="73"/>
      <x:c r="I68" s="73"/>
      <x:c r="J68" s="73"/>
      <x:c r="K68" s="73"/>
    </x:row>
    <x:row r="69" ht="22" customHeight="1">
      <x:c r="A69" s="73"/>
      <x:c r="B69" s="110"/>
      <x:c r="C69" s="110"/>
      <x:c r="D69" s="110"/>
      <x:c r="E69" s="110"/>
      <x:c r="F69" s="110"/>
      <x:c r="G69" s="73"/>
      <x:c r="H69" s="73"/>
      <x:c r="I69" s="73"/>
      <x:c r="J69" s="73"/>
      <x:c r="K69" s="73"/>
    </x:row>
    <x:row r="70" ht="22" customHeight="1">
      <x:c r="A70" s="73"/>
      <x:c r="B70" s="110"/>
      <x:c r="C70" s="110"/>
      <x:c r="D70" s="110"/>
      <x:c r="E70" s="110"/>
      <x:c r="F70" s="110"/>
      <x:c r="G70" s="73"/>
      <x:c r="H70" s="73"/>
      <x:c r="I70" s="73"/>
      <x:c r="J70" s="73"/>
      <x:c r="K70" s="73"/>
    </x:row>
    <x:row r="71" ht="22" customHeight="1">
      <x:c r="A71" s="73"/>
      <x:c r="B71" s="110"/>
      <x:c r="C71" s="110"/>
      <x:c r="D71" s="110"/>
      <x:c r="E71" s="110"/>
      <x:c r="F71" s="110"/>
      <x:c r="G71" s="73"/>
      <x:c r="H71" s="73"/>
      <x:c r="I71" s="73"/>
      <x:c r="J71" s="73"/>
      <x:c r="K71" s="73"/>
    </x:row>
    <x:row r="72" ht="22" customHeight="1">
      <x:c r="A72" s="73"/>
      <x:c r="B72" s="110"/>
      <x:c r="C72" s="110"/>
      <x:c r="D72" s="110"/>
      <x:c r="E72" s="110"/>
      <x:c r="F72" s="110"/>
      <x:c r="G72" s="73"/>
      <x:c r="H72" s="73"/>
      <x:c r="I72" s="73"/>
      <x:c r="J72" s="73"/>
      <x:c r="K72" s="73"/>
    </x:row>
    <x:row r="73" ht="22" customHeight="1">
      <x:c r="A73" s="73"/>
      <x:c r="B73" s="110"/>
      <x:c r="C73" s="110"/>
      <x:c r="D73" s="110"/>
      <x:c r="E73" s="110"/>
      <x:c r="F73" s="110"/>
      <x:c r="G73" s="73"/>
      <x:c r="H73" s="73"/>
      <x:c r="I73" s="73"/>
      <x:c r="J73" s="73"/>
      <x:c r="K73" s="73"/>
    </x:row>
    <x:row r="74" ht="22" customHeight="1">
      <x:c r="A74" s="73"/>
      <x:c r="B74" s="110"/>
      <x:c r="C74" s="110"/>
      <x:c r="D74" s="110"/>
      <x:c r="E74" s="110"/>
      <x:c r="F74" s="110"/>
      <x:c r="G74" s="73"/>
      <x:c r="H74" s="73"/>
      <x:c r="I74" s="73"/>
      <x:c r="J74" s="73"/>
      <x:c r="K74" s="73"/>
    </x:row>
    <x:row r="75" ht="22" customHeight="1">
      <x:c r="A75" s="73"/>
      <x:c r="B75" s="110"/>
      <x:c r="C75" s="110"/>
      <x:c r="D75" s="110"/>
      <x:c r="E75" s="110"/>
      <x:c r="F75" s="110"/>
      <x:c r="G75" s="73"/>
      <x:c r="H75" s="73"/>
      <x:c r="I75" s="73"/>
      <x:c r="J75" s="73"/>
      <x:c r="K75" s="73"/>
    </x:row>
    <x:row r="76" ht="22" customHeight="1">
      <x:c r="A76" s="73"/>
      <x:c r="B76" s="110"/>
      <x:c r="C76" s="110"/>
      <x:c r="D76" s="110"/>
      <x:c r="E76" s="110"/>
      <x:c r="F76" s="110"/>
      <x:c r="G76" s="73"/>
      <x:c r="H76" s="73"/>
      <x:c r="I76" s="73"/>
      <x:c r="J76" s="73"/>
      <x:c r="K76" s="73"/>
    </x:row>
    <x:row r="77" ht="22" customHeight="1">
      <x:c r="A77" s="73"/>
      <x:c r="B77" s="110"/>
      <x:c r="C77" s="110"/>
      <x:c r="D77" s="110"/>
      <x:c r="E77" s="110"/>
      <x:c r="F77" s="110"/>
      <x:c r="G77" s="73"/>
      <x:c r="H77" s="73"/>
      <x:c r="I77" s="73"/>
      <x:c r="J77" s="73"/>
      <x:c r="K77" s="73"/>
    </x:row>
    <x:row r="78" ht="22" customHeight="1">
      <x:c r="A78" s="73"/>
      <x:c r="B78" s="110"/>
      <x:c r="C78" s="110"/>
      <x:c r="D78" s="110"/>
      <x:c r="E78" s="110"/>
      <x:c r="F78" s="110"/>
      <x:c r="G78" s="73"/>
      <x:c r="H78" s="73"/>
      <x:c r="I78" s="73"/>
      <x:c r="J78" s="73"/>
      <x:c r="K78" s="73"/>
    </x:row>
    <x:row r="79" ht="22" customHeight="1">
      <x:c r="A79" s="73"/>
      <x:c r="B79" s="110"/>
      <x:c r="C79" s="110"/>
      <x:c r="D79" s="110"/>
      <x:c r="E79" s="110"/>
      <x:c r="F79" s="110"/>
      <x:c r="G79" s="73"/>
      <x:c r="H79" s="73"/>
      <x:c r="I79" s="73"/>
      <x:c r="J79" s="73"/>
      <x:c r="K79" s="73"/>
    </x:row>
    <x:row r="80" ht="22" customHeight="1">
      <x:c r="A80" s="73"/>
      <x:c r="B80" s="110"/>
      <x:c r="C80" s="110"/>
      <x:c r="D80" s="110"/>
      <x:c r="E80" s="110"/>
      <x:c r="F80" s="110"/>
      <x:c r="G80" s="73"/>
      <x:c r="H80" s="73"/>
      <x:c r="I80" s="73"/>
      <x:c r="J80" s="73"/>
      <x:c r="K80" s="73"/>
    </x:row>
    <x:row r="81" ht="22" customHeight="1">
      <x:c r="A81" s="73"/>
      <x:c r="B81" s="110"/>
      <x:c r="C81" s="110"/>
      <x:c r="D81" s="110"/>
      <x:c r="E81" s="110"/>
      <x:c r="F81" s="110"/>
      <x:c r="G81" s="73"/>
      <x:c r="H81" s="73"/>
      <x:c r="I81" s="73"/>
      <x:c r="J81" s="73"/>
      <x:c r="K81" s="73"/>
    </x:row>
    <x:row r="82" ht="22" customHeight="1">
      <x:c r="A82" s="73"/>
      <x:c r="B82" s="110"/>
      <x:c r="C82" s="110"/>
      <x:c r="D82" s="110"/>
      <x:c r="E82" s="110"/>
      <x:c r="F82" s="110"/>
      <x:c r="G82" s="73"/>
      <x:c r="H82" s="73"/>
      <x:c r="I82" s="73"/>
      <x:c r="J82" s="73"/>
      <x:c r="K82" s="73"/>
    </x:row>
    <x:row r="83" ht="22" customHeight="1">
      <x:c r="A83" s="73"/>
      <x:c r="B83" s="110"/>
      <x:c r="C83" s="110"/>
      <x:c r="D83" s="110"/>
      <x:c r="E83" s="110"/>
      <x:c r="F83" s="110"/>
      <x:c r="G83" s="73"/>
      <x:c r="H83" s="73"/>
      <x:c r="I83" s="73"/>
      <x:c r="J83" s="73"/>
      <x:c r="K83" s="73"/>
    </x:row>
    <x:row r="84" ht="22" customHeight="1">
      <x:c r="A84" s="73"/>
      <x:c r="B84" s="110"/>
      <x:c r="C84" s="110"/>
      <x:c r="D84" s="110"/>
      <x:c r="E84" s="110"/>
      <x:c r="F84" s="110"/>
      <x:c r="G84" s="73"/>
      <x:c r="H84" s="73"/>
      <x:c r="I84" s="73"/>
      <x:c r="J84" s="73"/>
      <x:c r="K84" s="73"/>
    </x:row>
    <x:row r="85" ht="22" customHeight="1">
      <x:c r="A85" s="73"/>
      <x:c r="B85" s="110"/>
      <x:c r="C85" s="110"/>
      <x:c r="D85" s="110"/>
      <x:c r="E85" s="110"/>
      <x:c r="F85" s="110"/>
      <x:c r="G85" s="73"/>
      <x:c r="H85" s="73"/>
      <x:c r="I85" s="73"/>
      <x:c r="J85" s="73"/>
      <x:c r="K85" s="73"/>
    </x:row>
    <x:row r="86" ht="22" customHeight="1">
      <x:c r="A86" s="73"/>
      <x:c r="B86" s="110"/>
      <x:c r="C86" s="110"/>
      <x:c r="D86" s="110"/>
      <x:c r="E86" s="110"/>
      <x:c r="F86" s="110"/>
      <x:c r="G86" s="73"/>
      <x:c r="H86" s="73"/>
      <x:c r="I86" s="73"/>
      <x:c r="J86" s="73"/>
      <x:c r="K86" s="73"/>
    </x:row>
    <x:row r="87" ht="22" customHeight="1">
      <x:c r="A87" s="73"/>
      <x:c r="B87" s="110"/>
      <x:c r="C87" s="110"/>
      <x:c r="D87" s="110"/>
      <x:c r="E87" s="110"/>
      <x:c r="F87" s="110"/>
      <x:c r="G87" s="73"/>
      <x:c r="H87" s="73"/>
      <x:c r="I87" s="73"/>
      <x:c r="J87" s="73"/>
      <x:c r="K87" s="73"/>
    </x:row>
    <x:row r="88" ht="22" customHeight="1">
      <x:c r="A88" s="73"/>
      <x:c r="B88" s="110"/>
      <x:c r="C88" s="110"/>
      <x:c r="D88" s="110"/>
      <x:c r="E88" s="110"/>
      <x:c r="F88" s="110"/>
      <x:c r="G88" s="73"/>
      <x:c r="H88" s="73"/>
      <x:c r="I88" s="73"/>
      <x:c r="J88" s="73"/>
      <x:c r="K88" s="73"/>
    </x:row>
    <x:row r="89" ht="22" customHeight="1">
      <x:c r="A89" s="73"/>
      <x:c r="B89" s="110"/>
      <x:c r="C89" s="110"/>
      <x:c r="D89" s="110"/>
      <x:c r="E89" s="110"/>
      <x:c r="F89" s="110"/>
      <x:c r="G89" s="73"/>
      <x:c r="H89" s="73"/>
      <x:c r="I89" s="73"/>
      <x:c r="J89" s="73"/>
      <x:c r="K89" s="73"/>
    </x:row>
    <x:row r="90" ht="22" customHeight="1">
      <x:c r="A90" s="73"/>
      <x:c r="B90" s="110"/>
      <x:c r="C90" s="110"/>
      <x:c r="D90" s="110"/>
      <x:c r="E90" s="110"/>
      <x:c r="F90" s="110"/>
      <x:c r="G90" s="73"/>
      <x:c r="H90" s="73"/>
      <x:c r="I90" s="73"/>
      <x:c r="J90" s="73"/>
      <x:c r="K90" s="73"/>
    </x:row>
    <x:row r="91" ht="22" customHeight="1">
      <x:c r="A91" s="73"/>
      <x:c r="B91" s="110"/>
      <x:c r="C91" s="110"/>
      <x:c r="D91" s="110"/>
      <x:c r="E91" s="110"/>
      <x:c r="F91" s="110"/>
      <x:c r="G91" s="73"/>
      <x:c r="H91" s="73"/>
      <x:c r="I91" s="73"/>
      <x:c r="J91" s="73"/>
      <x:c r="K91" s="73"/>
    </x:row>
    <x:row r="92" ht="22" customHeight="1">
      <x:c r="A92" s="73"/>
      <x:c r="B92" s="110"/>
      <x:c r="C92" s="110"/>
      <x:c r="D92" s="110"/>
      <x:c r="E92" s="110"/>
      <x:c r="F92" s="110"/>
      <x:c r="G92" s="73"/>
      <x:c r="H92" s="73"/>
      <x:c r="I92" s="73"/>
      <x:c r="J92" s="73"/>
      <x:c r="K92" s="73"/>
    </x:row>
    <x:row r="93" ht="22" customHeight="1">
      <x:c r="A93" s="73"/>
      <x:c r="B93" s="110"/>
      <x:c r="C93" s="110"/>
      <x:c r="D93" s="110"/>
      <x:c r="E93" s="110"/>
      <x:c r="F93" s="110"/>
      <x:c r="G93" s="73"/>
      <x:c r="H93" s="73"/>
      <x:c r="I93" s="73"/>
      <x:c r="J93" s="73"/>
      <x:c r="K93" s="73"/>
    </x:row>
    <x:row r="94" ht="22" customHeight="1">
      <x:c r="A94" s="73"/>
      <x:c r="B94" s="110"/>
      <x:c r="C94" s="110"/>
      <x:c r="D94" s="110"/>
      <x:c r="E94" s="110"/>
      <x:c r="F94" s="110"/>
      <x:c r="G94" s="73"/>
      <x:c r="H94" s="73"/>
      <x:c r="I94" s="73"/>
      <x:c r="J94" s="73"/>
      <x:c r="K94" s="73"/>
    </x:row>
    <x:row r="95" ht="22" customHeight="1">
      <x:c r="A95" s="73"/>
      <x:c r="B95" s="110"/>
      <x:c r="C95" s="110"/>
      <x:c r="D95" s="110"/>
      <x:c r="E95" s="110"/>
      <x:c r="F95" s="110"/>
      <x:c r="G95" s="73"/>
      <x:c r="H95" s="73"/>
      <x:c r="I95" s="73"/>
      <x:c r="J95" s="73"/>
      <x:c r="K95" s="73"/>
    </x:row>
    <x:row r="96" ht="22" customHeight="1">
      <x:c r="A96" s="73"/>
      <x:c r="B96" s="110"/>
      <x:c r="C96" s="110"/>
      <x:c r="D96" s="110"/>
      <x:c r="E96" s="110"/>
      <x:c r="F96" s="110"/>
      <x:c r="G96" s="73"/>
      <x:c r="H96" s="73"/>
      <x:c r="I96" s="73"/>
      <x:c r="J96" s="73"/>
      <x:c r="K96" s="73"/>
    </x:row>
    <x:row r="97" ht="22" customHeight="1">
      <x:c r="A97" s="73"/>
      <x:c r="B97" s="110"/>
      <x:c r="C97" s="110"/>
      <x:c r="D97" s="110"/>
      <x:c r="E97" s="110"/>
      <x:c r="F97" s="110"/>
      <x:c r="G97" s="73"/>
      <x:c r="H97" s="73"/>
      <x:c r="I97" s="73"/>
      <x:c r="J97" s="73"/>
      <x:c r="K97" s="73"/>
    </x:row>
    <x:row r="98" ht="22" customHeight="1">
      <x:c r="A98" s="73"/>
      <x:c r="B98" s="110"/>
      <x:c r="C98" s="110"/>
      <x:c r="D98" s="110"/>
      <x:c r="E98" s="110"/>
      <x:c r="F98" s="110"/>
      <x:c r="G98" s="73"/>
      <x:c r="H98" s="73"/>
      <x:c r="I98" s="73"/>
      <x:c r="J98" s="73"/>
      <x:c r="K98" s="73"/>
    </x:row>
    <x:row r="99" ht="22" customHeight="1">
      <x:c r="A99" s="73"/>
      <x:c r="B99" s="110"/>
      <x:c r="C99" s="110"/>
      <x:c r="D99" s="110"/>
      <x:c r="E99" s="110"/>
      <x:c r="F99" s="110"/>
      <x:c r="G99" s="73"/>
      <x:c r="H99" s="73"/>
      <x:c r="I99" s="73"/>
      <x:c r="J99" s="73"/>
      <x:c r="K99" s="73"/>
    </x:row>
    <x:row r="100" ht="22" customHeight="1">
      <x:c r="A100" s="73"/>
      <x:c r="B100" s="110"/>
      <x:c r="C100" s="110"/>
      <x:c r="D100" s="110"/>
      <x:c r="E100" s="110"/>
      <x:c r="F100" s="110"/>
      <x:c r="G100" s="73"/>
      <x:c r="H100" s="73"/>
      <x:c r="I100" s="73"/>
      <x:c r="J100" s="73"/>
      <x:c r="K100" s="73"/>
    </x:row>
    <x:row r="101" ht="22" customHeight="1">
      <x:c r="A101" s="73"/>
      <x:c r="B101" s="110"/>
      <x:c r="C101" s="110"/>
      <x:c r="D101" s="110"/>
      <x:c r="E101" s="110"/>
      <x:c r="F101" s="110"/>
      <x:c r="G101" s="73"/>
      <x:c r="H101" s="73"/>
      <x:c r="I101" s="73"/>
      <x:c r="J101" s="73"/>
      <x:c r="K101" s="73"/>
    </x:row>
    <x:row r="102" ht="22" customHeight="1">
      <x:c r="A102" s="73"/>
      <x:c r="B102" s="110"/>
      <x:c r="C102" s="110"/>
      <x:c r="D102" s="110"/>
      <x:c r="E102" s="110"/>
      <x:c r="F102" s="110"/>
      <x:c r="G102" s="73"/>
      <x:c r="H102" s="73"/>
      <x:c r="I102" s="73"/>
      <x:c r="J102" s="73"/>
      <x:c r="K102" s="73"/>
    </x:row>
    <x:row r="103" ht="22" customHeight="1">
      <x:c r="A103" s="73"/>
      <x:c r="B103" s="110"/>
      <x:c r="C103" s="110"/>
      <x:c r="D103" s="110"/>
      <x:c r="E103" s="110"/>
      <x:c r="F103" s="110"/>
      <x:c r="G103" s="73"/>
      <x:c r="H103" s="73"/>
      <x:c r="I103" s="73"/>
      <x:c r="J103" s="73"/>
      <x:c r="K103" s="73"/>
    </x:row>
    <x:row r="104" ht="22" customHeight="1">
      <x:c r="A104" s="73"/>
      <x:c r="B104" s="110"/>
      <x:c r="C104" s="110"/>
      <x:c r="D104" s="110"/>
      <x:c r="E104" s="110"/>
      <x:c r="F104" s="110"/>
      <x:c r="G104" s="73"/>
      <x:c r="H104" s="73"/>
      <x:c r="I104" s="73"/>
      <x:c r="J104" s="73"/>
      <x:c r="K104" s="73"/>
    </x:row>
    <x:row r="105" ht="22" customHeight="1">
      <x:c r="A105" s="73"/>
      <x:c r="B105" s="110"/>
      <x:c r="C105" s="110"/>
      <x:c r="D105" s="110"/>
      <x:c r="E105" s="110"/>
      <x:c r="F105" s="110"/>
      <x:c r="G105" s="73"/>
      <x:c r="H105" s="73"/>
      <x:c r="I105" s="73"/>
      <x:c r="J105" s="73"/>
      <x:c r="K105" s="73"/>
    </x:row>
    <x:row r="106" ht="22" customHeight="1">
      <x:c r="A106" s="73"/>
      <x:c r="B106" s="110"/>
      <x:c r="C106" s="110"/>
      <x:c r="D106" s="110"/>
      <x:c r="E106" s="110"/>
      <x:c r="F106" s="110"/>
      <x:c r="G106" s="73"/>
      <x:c r="H106" s="73"/>
      <x:c r="I106" s="73"/>
      <x:c r="J106" s="73"/>
      <x:c r="K106" s="73"/>
    </x:row>
    <x:row r="107" ht="22" customHeight="1">
      <x:c r="A107" s="73"/>
      <x:c r="B107" s="110"/>
      <x:c r="C107" s="110"/>
      <x:c r="D107" s="110"/>
      <x:c r="E107" s="110"/>
      <x:c r="F107" s="110"/>
      <x:c r="G107" s="73"/>
      <x:c r="H107" s="73"/>
      <x:c r="I107" s="73"/>
      <x:c r="J107" s="73"/>
      <x:c r="K107" s="73"/>
    </x:row>
    <x:row r="108" ht="22" customHeight="1">
      <x:c r="A108" s="73"/>
      <x:c r="B108" s="110"/>
      <x:c r="C108" s="110"/>
      <x:c r="D108" s="110"/>
      <x:c r="E108" s="110"/>
      <x:c r="F108" s="110"/>
      <x:c r="G108" s="73"/>
      <x:c r="H108" s="73"/>
      <x:c r="I108" s="73"/>
      <x:c r="J108" s="73"/>
      <x:c r="K108" s="73"/>
    </x:row>
    <x:row r="109" ht="22" customHeight="1">
      <x:c r="A109" s="73"/>
      <x:c r="B109" s="110"/>
      <x:c r="C109" s="110"/>
      <x:c r="D109" s="110"/>
      <x:c r="E109" s="110"/>
      <x:c r="F109" s="110"/>
      <x:c r="G109" s="73"/>
      <x:c r="H109" s="73"/>
      <x:c r="I109" s="73"/>
      <x:c r="J109" s="73"/>
      <x:c r="K109" s="73"/>
    </x:row>
    <x:row r="110" ht="22" customHeight="1">
      <x:c r="A110" s="73"/>
      <x:c r="B110" s="110"/>
      <x:c r="C110" s="110"/>
      <x:c r="D110" s="110"/>
      <x:c r="E110" s="110"/>
      <x:c r="F110" s="110"/>
      <x:c r="G110" s="73"/>
      <x:c r="H110" s="73"/>
      <x:c r="I110" s="73"/>
      <x:c r="J110" s="73"/>
      <x:c r="K110" s="73"/>
    </x:row>
    <x:row r="111" ht="22" customHeight="1">
      <x:c r="A111" s="73"/>
      <x:c r="B111" s="110"/>
      <x:c r="C111" s="110"/>
      <x:c r="D111" s="110"/>
      <x:c r="E111" s="110"/>
      <x:c r="F111" s="110"/>
      <x:c r="G111" s="73"/>
      <x:c r="H111" s="73"/>
      <x:c r="I111" s="73"/>
      <x:c r="J111" s="73"/>
      <x:c r="K111" s="73"/>
    </x:row>
    <x:row r="112" ht="22" customHeight="1">
      <x:c r="A112" s="73"/>
      <x:c r="B112" s="110"/>
      <x:c r="C112" s="110"/>
      <x:c r="D112" s="110"/>
      <x:c r="E112" s="110"/>
      <x:c r="F112" s="110"/>
      <x:c r="G112" s="73"/>
      <x:c r="H112" s="73"/>
      <x:c r="I112" s="73"/>
      <x:c r="J112" s="73"/>
      <x:c r="K112" s="73"/>
    </x:row>
  </x:sheetData>
  <x:mergeCells>
    <x:mergeCell ref="A2:D5"/>
    <x:mergeCell ref="A16:D20"/>
    <x:mergeCell ref="A23:D26"/>
    <x:mergeCell ref="A29:D32"/>
    <x:mergeCell ref="A35:D39"/>
    <x:mergeCell ref="A42:D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11.5703125" defaultRowHeight="14.149999618530273"/>
  <x:cols>
    <x:col min="1" max="1" width="40" hidden="0" customWidth="1"/>
    <x:col min="2" max="2" width="25" hidden="0" customWidth="1"/>
    <x:col min="3" max="3" width="30" hidden="0" customWidth="1"/>
    <x:col min="4" max="4" width="30" hidden="0" customWidth="1"/>
  </x:cols>
  <x:sheetData>
    <x:row r="1" ht="26" customHeight="1">
      <x:c r="A1" s="260" t="str">
        <x:v>填写口径与资料</x:v>
      </x:c>
      <x:c r="B1" s="260"/>
      <x:c r="C1" s="260"/>
      <x:c r="D1" s="260"/>
      <x:c r="E1" s="73"/>
      <x:c r="F1" s="73"/>
      <x:c r="G1" s="73"/>
      <x:c r="H1" s="73"/>
      <x:c r="I1" s="73"/>
      <x:c r="J1" s="73"/>
      <x:c r="K1" s="73"/>
    </x:row>
    <x:row r="2" ht="22" customHeight="1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</x:row>
    <x:row r="3" ht="22" customHeight="1">
      <x:c r="A3" s="73" t="str">
        <x:v>客户名称</x:v>
      </x:c>
      <x:c r="B3" s="262"/>
      <x:c r="C3" s="73"/>
      <x:c r="D3" s="73"/>
      <x:c r="E3" s="73"/>
      <x:c r="F3" s="73"/>
      <x:c r="G3" s="73"/>
      <x:c r="H3" s="73"/>
      <x:c r="I3" s="73"/>
      <x:c r="J3" s="73"/>
      <x:c r="K3" s="73"/>
    </x:row>
    <x:row r="4" ht="22" customHeight="1">
      <x:c r="A4" s="73" t="str">
        <x:v>原币代码</x:v>
      </x:c>
      <x:c r="B4" s="262" t="str">
        <x:v>原币</x:v>
      </x:c>
      <x:c r="C4" s="73"/>
      <x:c r="D4" s="73"/>
      <x:c r="E4" s="73"/>
      <x:c r="F4" s="73"/>
      <x:c r="G4" s="73"/>
      <x:c r="H4" s="73"/>
      <x:c r="I4" s="73"/>
      <x:c r="J4" s="73"/>
      <x:c r="K4" s="73"/>
    </x:row>
    <x:row r="5" ht="22" customHeight="1">
      <x:c r="A5" s="73" t="str">
        <x:v>输入单位倍率（基础货币/输入单位）</x:v>
      </x:c>
      <x:c r="B5" s="262" t="n">
        <x:v>100000000</x:v>
      </x:c>
      <x:c r="C5" s="73"/>
      <x:c r="D5" s="73"/>
      <x:c r="E5" s="73"/>
      <x:c r="F5" s="73"/>
      <x:c r="G5" s="73"/>
      <x:c r="H5" s="73"/>
      <x:c r="I5" s="73"/>
      <x:c r="J5" s="73"/>
      <x:c r="K5" s="73"/>
    </x:row>
    <x:row r="6" ht="22" customHeight="1">
      <x:c r="A6" s="73" t="str">
        <x:v>汇率（原币/1美元）</x:v>
      </x:c>
      <x:c r="B6" s="262"/>
      <x:c r="C6" s="73"/>
      <x:c r="D6" s="73"/>
      <x:c r="E6" s="73"/>
      <x:c r="F6" s="73"/>
      <x:c r="G6" s="73"/>
      <x:c r="H6" s="73"/>
      <x:c r="I6" s="73"/>
      <x:c r="J6" s="73"/>
      <x:c r="K6" s="73"/>
    </x:row>
    <x:row r="7" ht="22" customHeight="1">
      <x:c r="A7" s="73" t="str">
        <x:v>汇率日期及来源</x:v>
      </x:c>
      <x:c r="B7" s="262"/>
      <x:c r="C7" s="73"/>
      <x:c r="D7" s="73"/>
      <x:c r="E7" s="73"/>
      <x:c r="F7" s="73"/>
      <x:c r="G7" s="73"/>
      <x:c r="H7" s="73"/>
      <x:c r="I7" s="73"/>
      <x:c r="J7" s="73"/>
      <x:c r="K7" s="73"/>
    </x:row>
    <x:row r="8" ht="22" customHeight="1">
      <x:c r="A8" s="73" t="str">
        <x:v>报表主体/范围</x:v>
      </x:c>
      <x:c r="B8" s="262"/>
      <x:c r="C8" s="73"/>
      <x:c r="D8" s="73"/>
      <x:c r="E8" s="73"/>
      <x:c r="F8" s="73"/>
      <x:c r="G8" s="73"/>
      <x:c r="H8" s="73"/>
      <x:c r="I8" s="73"/>
      <x:c r="J8" s="73"/>
      <x:c r="K8" s="73"/>
    </x:row>
    <x:row r="9" ht="22" customHeight="1">
      <x:c r="A9" s="73" t="str">
        <x:v>已确认各比较期间可比？</x:v>
      </x:c>
      <x:c r="B9" s="262" t="str">
        <x:v>待确认</x:v>
      </x:c>
      <x:c r="C9" s="73"/>
      <x:c r="D9" s="73"/>
      <x:c r="E9" s="73"/>
      <x:c r="F9" s="73"/>
      <x:c r="G9" s="73"/>
      <x:c r="H9" s="73"/>
      <x:c r="I9" s="73"/>
      <x:c r="J9" s="73"/>
      <x:c r="K9" s="73"/>
    </x:row>
    <x:row r="10" ht="22" customHeight="1">
      <x:c r="A10" s="73" t="str">
        <x:v>已读材料及审计状态</x:v>
      </x:c>
      <x:c r="B10" s="262"/>
      <x:c r="C10" s="73"/>
      <x:c r="D10" s="73"/>
      <x:c r="E10" s="73"/>
      <x:c r="F10" s="73"/>
      <x:c r="G10" s="73"/>
      <x:c r="H10" s="73"/>
      <x:c r="I10" s="73"/>
      <x:c r="J10" s="73"/>
      <x:c r="K10" s="73"/>
    </x:row>
    <x:row r="11" ht="22" customHeight="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</x:row>
    <x:row r="12" ht="26" customHeight="1">
      <x:c r="A12" s="260" t="str">
        <x:v>数据填写</x:v>
      </x:c>
      <x:c r="B12" s="260"/>
      <x:c r="C12" s="260"/>
      <x:c r="D12" s="260"/>
      <x:c r="E12" s="73"/>
      <x:c r="F12" s="73"/>
      <x:c r="G12" s="73"/>
      <x:c r="H12" s="73"/>
      <x:c r="I12" s="73"/>
      <x:c r="J12" s="73"/>
      <x:c r="K12" s="73"/>
    </x:row>
    <x:row r="13" ht="22" customHeight="1">
      <x:c r="A13" s="141" t="str">
        <x:v>两期材料填D列（上期）、E列（本期）；更多期间使用B/C。所有输入采用统一原币单位。未披露留空，不补零；先核来源，再填写叙述。同比需确认可比；美元区须提供汇率及来源。</x:v>
      </x:c>
      <x:c r="B13" s="141"/>
      <x:c r="C13" s="141"/>
      <x:c r="D13" s="141"/>
      <x:c r="E13" s="73"/>
      <x:c r="F13" s="73"/>
      <x:c r="G13" s="73"/>
      <x:c r="H13" s="73"/>
      <x:c r="I13" s="73"/>
      <x:c r="J13" s="73"/>
      <x:c r="K13" s="73"/>
    </x:row>
    <x:row r="14" ht="22" customHeight="1">
      <x:c r="A14" s="141"/>
      <x:c r="B14" s="141"/>
      <x:c r="C14" s="141"/>
      <x:c r="D14" s="141"/>
      <x:c r="E14" s="73"/>
      <x:c r="F14" s="73"/>
      <x:c r="G14" s="73"/>
      <x:c r="H14" s="73"/>
      <x:c r="I14" s="73"/>
      <x:c r="J14" s="73"/>
      <x:c r="K14" s="73"/>
    </x:row>
    <x:row r="15" ht="22" customHeight="1">
      <x:c r="A15" s="141"/>
      <x:c r="B15" s="141"/>
      <x:c r="C15" s="141"/>
      <x:c r="D15" s="141"/>
      <x:c r="E15" s="73"/>
      <x:c r="F15" s="73"/>
      <x:c r="G15" s="73"/>
      <x:c r="H15" s="73"/>
      <x:c r="I15" s="73"/>
      <x:c r="J15" s="73"/>
      <x:c r="K15" s="73"/>
    </x:row>
    <x:row r="16" ht="22" customHeight="1">
      <x:c r="A16" s="73" t="str">
        <x:v>勾稽容差（原币输入单位）</x:v>
      </x:c>
      <x:c r="B16" s="262"/>
      <x:c r="C16" s="73"/>
      <x:c r="D16" s="73"/>
      <x:c r="E16" s="73"/>
      <x:c r="F16" s="73"/>
      <x:c r="G16" s="73"/>
      <x:c r="H16" s="73"/>
      <x:c r="I16" s="73"/>
      <x:c r="J16" s="73"/>
      <x:c r="K16" s="73"/>
    </x:row>
    <x:row r="17" ht="22" customHeight="1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</x:row>
    <x:row r="18" ht="26" customHeight="1">
      <x:c r="A18" s="260" t="str">
        <x:v>勾稽差额（原币输入单位）</x:v>
      </x:c>
      <x:c r="B18" s="260" t="str">
        <x:v>期间1</x:v>
      </x:c>
      <x:c r="C18" s="260" t="str">
        <x:v>期间2</x:v>
      </x:c>
      <x:c r="D18" s="260" t="str">
        <x:v>上期</x:v>
      </x:c>
      <x:c r="E18" s="260" t="str">
        <x:v>本期</x:v>
      </x:c>
      <x:c r="F18" s="73"/>
      <x:c r="G18" s="73"/>
      <x:c r="H18" s="73"/>
      <x:c r="I18" s="73"/>
      <x:c r="J18" s="73"/>
      <x:c r="K18" s="73"/>
    </x:row>
    <x:row r="19" ht="22" customHeight="1">
      <x:c r="A19" s="73" t="str">
        <x:v>资产−负债−权益</x:v>
      </x:c>
      <x:c r="B19" s="73" t="str">
        <x:f>IF(COUNT(报表情况!B47,报表情况!B50,报表情况!B51)=3,报表情况!B47-报表情况!B50-报表情况!B51,"")</x:f>
      </x:c>
      <x:c r="C19" s="73" t="str">
        <x:f>IF(COUNT(报表情况!C47,报表情况!C50,报表情况!C51)=3,报表情况!C47-报表情况!C50-报表情况!C51,"")</x:f>
      </x:c>
      <x:c r="D19" s="73" t="str">
        <x:f>IF(COUNT(报表情况!D47,报表情况!D50,报表情况!D51)=3,报表情况!D47-报表情况!D50-报表情况!D51,"")</x:f>
      </x:c>
      <x:c r="E19" s="73" t="str">
        <x:f>IF(COUNT(报表情况!E47,报表情况!E50,报表情况!E51)=3,报表情况!E47-报表情况!E50-报表情况!E51,"")</x:f>
      </x:c>
      <x:c r="F19" s="73"/>
      <x:c r="G19" s="73"/>
      <x:c r="H19" s="73"/>
      <x:c r="I19" s="73"/>
      <x:c r="J19" s="73"/>
      <x:c r="K19" s="73"/>
    </x:row>
    <x:row r="20" ht="22" customHeight="1">
      <x:c r="A20" s="73" t="str">
        <x:v>测算净利润−披露净利润</x:v>
      </x:c>
      <x:c r="B20" s="73" t="str">
        <x:f>IF(COUNT(报表情况!B93,报表情况!B107)=2,报表情况!B93-报表情况!B107,"")</x:f>
      </x:c>
      <x:c r="C20" s="73" t="str">
        <x:f>IF(COUNT(报表情况!C93,报表情况!C107)=2,报表情况!C93-报表情况!C107,"")</x:f>
      </x:c>
      <x:c r="D20" s="73" t="str">
        <x:f>IF(COUNT(报表情况!D93,报表情况!D107)=2,报表情况!D93-报表情况!D107,"")</x:f>
      </x:c>
      <x:c r="E20" s="73" t="str">
        <x:f>IF(COUNT(报表情况!E93,报表情况!E107)=2,报表情况!E93-报表情况!E107,"")</x:f>
      </x:c>
      <x:c r="F20" s="73"/>
      <x:c r="G20" s="73"/>
      <x:c r="H20" s="73"/>
      <x:c r="I20" s="73"/>
      <x:c r="J20" s="73"/>
      <x:c r="K20" s="73"/>
    </x:row>
    <x:row r="21" ht="22" customHeight="1">
      <x:c r="A21" s="73" t="str">
        <x:v>测算营业利润−披露营业利润</x:v>
      </x:c>
      <x:c r="B21" s="73" t="str">
        <x:f>IF(COUNT(报表情况!B94,报表情况!B108)=2,报表情况!B94-报表情况!B108,"")</x:f>
      </x:c>
      <x:c r="C21" s="73" t="str">
        <x:f>IF(COUNT(报表情况!C94,报表情况!C108)=2,报表情况!C94-报表情况!C108,"")</x:f>
      </x:c>
      <x:c r="D21" s="73" t="str">
        <x:f>IF(COUNT(报表情况!D94,报表情况!D108)=2,报表情况!D94-报表情况!D108,"")</x:f>
      </x:c>
      <x:c r="E21" s="73" t="str">
        <x:f>IF(COUNT(报表情况!E94,报表情况!E108)=2,报表情况!E94-报表情况!E108,"")</x:f>
      </x:c>
      <x:c r="F21" s="73"/>
      <x:c r="G21" s="73"/>
      <x:c r="H21" s="73"/>
      <x:c r="I21" s="73"/>
      <x:c r="J21" s="73"/>
      <x:c r="K21" s="73"/>
    </x:row>
    <x:row r="22" ht="22" customHeight="1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</x:row>
    <x:row r="23" ht="22" customHeight="1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</x:row>
    <x:row r="24" ht="22" customHeight="1">
      <x:c r="A24" s="141" t="str">
        <x:v>差额不应通过倒填调整项配平；容差需按原报表精度确认。</x:v>
      </x:c>
      <x:c r="B24" s="141"/>
      <x:c r="C24" s="141"/>
      <x:c r="D24" s="141"/>
      <x:c r="E24" s="141"/>
      <x:c r="F24" s="73"/>
      <x:c r="G24" s="73"/>
      <x:c r="H24" s="73"/>
      <x:c r="I24" s="73"/>
      <x:c r="J24" s="73"/>
      <x:c r="K24" s="73"/>
    </x:row>
    <x:row r="25" ht="22" customHeight="1">
      <x:c r="A25" s="141"/>
      <x:c r="B25" s="141"/>
      <x:c r="C25" s="141"/>
      <x:c r="D25" s="141"/>
      <x:c r="E25" s="141"/>
      <x:c r="F25" s="73"/>
      <x:c r="G25" s="73"/>
      <x:c r="H25" s="73"/>
      <x:c r="I25" s="73"/>
      <x:c r="J25" s="73"/>
      <x:c r="K25" s="73"/>
    </x:row>
    <x:row r="26" ht="22" customHeight="1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</x:row>
    <x:row r="27" ht="22" customHeight="1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</x:row>
    <x:row r="28" ht="26" customHeight="1">
      <x:c r="A28" s="260" t="str">
        <x:v>源文件</x:v>
      </x:c>
      <x:c r="B28" s="260" t="str">
        <x:v>页码/表格位置</x:v>
      </x:c>
      <x:c r="C28" s="260" t="str">
        <x:v>对应科目/输入单元格</x:v>
      </x:c>
      <x:c r="D28" s="260" t="str">
        <x:v>原单位/转换及缺项</x:v>
      </x:c>
      <x:c r="E28" s="73"/>
      <x:c r="F28" s="73"/>
      <x:c r="G28" s="73"/>
      <x:c r="H28" s="73"/>
      <x:c r="I28" s="73"/>
      <x:c r="J28" s="73"/>
      <x:c r="K28" s="73"/>
    </x:row>
    <x:row r="29" ht="22" customHeight="1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</x:row>
    <x:row r="30" ht="22" customHeight="1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</x:row>
    <x:row r="31" ht="22" customHeight="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</x:row>
    <x:row r="32" ht="22" customHeight="1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</x:row>
    <x:row r="33" ht="22" customHeight="1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</x:row>
    <x:row r="34" ht="22" customHeight="1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</x:row>
    <x:row r="35" ht="22" customHeight="1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</x:row>
    <x:row r="36" ht="22" customHeight="1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</x:row>
    <x:row r="37" ht="22" customHeight="1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</x:row>
    <x:row r="38" ht="22" customHeight="1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</x:row>
    <x:row r="39" ht="22" customHeight="1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</x:row>
    <x:row r="40" ht="22" customHeight="1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</x:row>
    <x:row r="41" ht="22" customHeight="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</x:row>
    <x:row r="42" ht="22" customHeight="1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</x:row>
    <x:row r="43" ht="22" customHeight="1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</x:row>
    <x:row r="44" ht="22" customHeight="1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</x:row>
    <x:row r="45" ht="22" customHeight="1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</x:row>
    <x:row r="46" ht="22" customHeight="1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</x:row>
    <x:row r="47" ht="22" customHeight="1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</x:row>
    <x:row r="48" ht="22" customHeight="1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</x:row>
    <x:row r="49" ht="22" customHeight="1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</x:row>
    <x:row r="50" ht="22" customHeight="1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</x:row>
    <x:row r="51" ht="22" customHeight="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</x:row>
    <x:row r="52" ht="22" customHeight="1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</x:row>
    <x:row r="53" ht="22" customHeight="1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</x:row>
    <x:row r="54" ht="22" customHeight="1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</x:row>
    <x:row r="55" ht="22" customHeight="1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</x:row>
    <x:row r="56" ht="22" customHeight="1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</x:row>
    <x:row r="57" ht="22" customHeight="1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</x:row>
    <x:row r="58" ht="22" customHeight="1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</x:row>
    <x:row r="59" ht="22" customHeight="1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</x:row>
    <x:row r="60" ht="22" customHeight="1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</x:row>
    <x:row r="61" ht="22" customHeight="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</x:row>
    <x:row r="62" ht="22" customHeight="1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</x:row>
    <x:row r="63" ht="22" customHeight="1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</x:row>
    <x:row r="64" ht="22" customHeight="1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</x:row>
    <x:row r="65" ht="22" customHeight="1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</x:row>
    <x:row r="66" ht="22" customHeight="1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</x:row>
    <x:row r="67" ht="22" customHeight="1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</x:row>
    <x:row r="68" ht="22" customHeight="1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</x:row>
    <x:row r="69" ht="22" customHeight="1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</x:row>
    <x:row r="70" ht="22" customHeight="1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</x:row>
    <x:row r="71" ht="22" customHeight="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</x:row>
    <x:row r="72" ht="22" customHeight="1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</x:row>
    <x:row r="73" ht="22" customHeight="1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</x:row>
    <x:row r="74" ht="22" customHeight="1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</x:row>
    <x:row r="75" ht="22" customHeight="1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</x:row>
    <x:row r="76" ht="22" customHeight="1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</x:row>
    <x:row r="77" ht="22" customHeight="1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</x:row>
    <x:row r="78" ht="22" customHeight="1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</x:row>
    <x:row r="79" ht="22" customHeight="1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</x:row>
    <x:row r="80" ht="22" customHeight="1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</x:row>
    <x:row r="81" ht="22" customHeight="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</x:row>
    <x:row r="82" ht="22" customHeight="1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</x:row>
    <x:row r="83" ht="22" customHeight="1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</x:row>
    <x:row r="84" ht="22" customHeight="1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</x:row>
    <x:row r="85" ht="22" customHeight="1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</x:row>
    <x:row r="86" ht="22" customHeight="1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</x:row>
    <x:row r="87" ht="22" customHeight="1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</x:row>
    <x:row r="88" ht="22" customHeight="1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</x:row>
    <x:row r="89" ht="22" customHeight="1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</x:row>
    <x:row r="90" ht="22" customHeight="1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</x:row>
    <x:row r="91" ht="22" customHeight="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</x:row>
    <x:row r="92" ht="22" customHeight="1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</x:row>
    <x:row r="93" ht="22" customHeight="1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</x:row>
    <x:row r="94" ht="22" customHeight="1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</x:row>
    <x:row r="95" ht="22" customHeight="1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</x:row>
    <x:row r="96" ht="22" customHeight="1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</x:row>
    <x:row r="97" ht="22" customHeight="1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</x:row>
    <x:row r="98" ht="22" customHeight="1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</x:row>
    <x:row r="99" ht="22" customHeight="1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</x:row>
    <x:row r="100" ht="22" customHeight="1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</x:row>
    <x:row r="101" ht="22" customHeight="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</x:row>
    <x:row r="102" ht="22" customHeight="1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</x:row>
    <x:row r="103" ht="22" customHeight="1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</x:row>
    <x:row r="104" ht="22" customHeight="1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</x:row>
    <x:row r="105" ht="22" customHeight="1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</x:row>
    <x:row r="106" ht="22" customHeight="1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</x:row>
    <x:row r="107" ht="22" customHeight="1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</x:row>
    <x:row r="108" ht="22" customHeight="1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</x:row>
    <x:row r="109" ht="22" customHeight="1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</x:row>
    <x:row r="110" ht="22" customHeight="1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</x:row>
    <x:row r="111" ht="22" customHeight="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</x:row>
    <x:row r="112" ht="22" customHeight="1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</x:row>
  </x:sheetData>
  <x:mergeCells>
    <x:mergeCell ref="A13:D15"/>
    <x:mergeCell ref="A24:E25"/>
  </x:mergeCells>
  <x:dataValidations count="1">
    <x:dataValidation type="list" sqref="B9">
      <x:formula1>"待确认,是,否"</x:formula1>
    </x:dataValidation>
  </x:dataValidations>
  <x:pageMargins left="0.7" right="0.7" top="0.75" bottom="0.75" header="0.3" footer="0.3"/>
</x:worksheet>
</file>